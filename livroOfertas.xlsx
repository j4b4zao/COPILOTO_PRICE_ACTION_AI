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"/>
    </mc:Choice>
  </mc:AlternateContent>
  <xr:revisionPtr revIDLastSave="0" documentId="13_ncr:1_{FA4D4DDA-A970-4349-BEF6-74B010E04CDE}" xr6:coauthVersionLast="47" xr6:coauthVersionMax="47" xr10:uidLastSave="{00000000-0000-0000-0000-000000000000}"/>
  <bookViews>
    <workbookView xWindow="-25320" yWindow="270" windowWidth="25440" windowHeight="15390" xr2:uid="{337272C9-957E-4EB5-A895-DDC350CB3D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  <c r="B1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</calcChain>
</file>

<file path=xl/sharedStrings.xml><?xml version="1.0" encoding="utf-8"?>
<sst xmlns="http://schemas.openxmlformats.org/spreadsheetml/2006/main" count="8" uniqueCount="5">
  <si>
    <t>Hora</t>
  </si>
  <si>
    <t>Agente</t>
  </si>
  <si>
    <t>Qtde</t>
  </si>
  <si>
    <t>Compra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</si>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</sst>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>
        <v>57</v>
        <stp/>
        <stp>BOOK0</stp>
        <stp>VOC</stp>
        <stp>1</stp>
        <tr r="C4" s="1"/>
      </tp>
      <tp>
        <v>63</v>
        <stp/>
        <stp>BOOK0</stp>
        <stp>VOC</stp>
        <stp>0</stp>
        <tr r="C3" s="1"/>
      </tp>
      <tp>
        <v>59</v>
        <stp/>
        <stp>BOOK0</stp>
        <stp>VOC</stp>
        <stp>3</stp>
        <tr r="C6" s="1"/>
      </tp>
      <tp>
        <v>65</v>
        <stp/>
        <stp>BOOK0</stp>
        <stp>VOC</stp>
        <stp>2</stp>
        <tr r="C5" s="1"/>
      </tp>
      <tp>
        <v>53</v>
        <stp/>
        <stp>BOOK0</stp>
        <stp>VOC</stp>
        <stp>5</stp>
        <tr r="C8" s="1"/>
      </tp>
      <tp>
        <v>50</v>
        <stp/>
        <stp>BOOK0</stp>
        <stp>VOC</stp>
        <stp>4</stp>
        <tr r="C7" s="1"/>
      </tp>
      <tp>
        <v>55</v>
        <stp/>
        <stp>BOOK0</stp>
        <stp>VOC</stp>
        <stp>7</stp>
        <tr r="C10" s="1"/>
      </tp>
      <tp>
        <v>61</v>
        <stp/>
        <stp>BOOK0</stp>
        <stp>VOC</stp>
        <stp>6</stp>
        <tr r="C9" s="1"/>
      </tp>
      <tp>
        <v>117</v>
        <stp/>
        <stp>BOOK0</stp>
        <stp>VOC</stp>
        <stp>9</stp>
        <tr r="C12" s="1"/>
      </tp>
      <tp>
        <v>63</v>
        <stp/>
        <stp>BOOK0</stp>
        <stp>VOC</stp>
        <stp>8</stp>
        <tr r="C11" s="1"/>
      </tp>
      <tp t="s">
        <v>Genial</v>
        <stp/>
        <stp>BOOK0</stp>
        <stp>AVD</stp>
        <stp>6</stp>
        <tr r="G9" s="1"/>
      </tp>
      <tp>
        <v>174305</v>
        <stp/>
        <stp>BOOK0</stp>
        <stp>OVD</stp>
        <stp>8</stp>
        <tr r="E11" s="1"/>
      </tp>
      <tp t="s">
        <v>Genial</v>
        <stp/>
        <stp>BOOK0</stp>
        <stp>AVD</stp>
        <stp>7</stp>
        <tr r="G10" s="1"/>
      </tp>
      <tp>
        <v>174305</v>
        <stp/>
        <stp>BOOK0</stp>
        <stp>OVD</stp>
        <stp>9</stp>
        <tr r="E12" s="1"/>
      </tp>
      <tp t="s">
        <v>Genial</v>
        <stp/>
        <stp>BOOK0</stp>
        <stp>AVD</stp>
        <stp>4</stp>
        <tr r="G7" s="1"/>
      </tp>
      <tp t="s">
        <v>Genial</v>
        <stp/>
        <stp>BOOK0</stp>
        <stp>AVD</stp>
        <stp>5</stp>
        <tr r="G8" s="1"/>
      </tp>
      <tp t="s">
        <v>Genial</v>
        <stp/>
        <stp>BOOK0</stp>
        <stp>AVD</stp>
        <stp>2</stp>
        <tr r="G5" s="1"/>
      </tp>
      <tp t="s">
        <v>Genial</v>
        <stp/>
        <stp>BOOK0</stp>
        <stp>AVD</stp>
        <stp>3</stp>
        <tr r="G6" s="1"/>
      </tp>
      <tp t="s">
        <v>Genial</v>
        <stp/>
        <stp>BOOK0</stp>
        <stp>AVD</stp>
        <stp>0</stp>
        <tr r="G3" s="1"/>
      </tp>
      <tp t="s">
        <v>Genial</v>
        <stp/>
        <stp>BOOK0</stp>
        <stp>AVD</stp>
        <stp>1</stp>
        <tr r="G4" s="1"/>
      </tp>
      <tp>
        <v>174265</v>
        <stp/>
        <stp>BOOK0</stp>
        <stp>OVD</stp>
        <stp>0</stp>
        <tr r="E3" s="1"/>
      </tp>
      <tp>
        <v>174270</v>
        <stp/>
        <stp>BOOK0</stp>
        <stp>OVD</stp>
        <stp>1</stp>
        <tr r="E4" s="1"/>
      </tp>
      <tp>
        <v>174275</v>
        <stp/>
        <stp>BOOK0</stp>
        <stp>OVD</stp>
        <stp>2</stp>
        <tr r="E5" s="1"/>
      </tp>
      <tp>
        <v>174280</v>
        <stp/>
        <stp>BOOK0</stp>
        <stp>OVD</stp>
        <stp>3</stp>
        <tr r="E6" s="1"/>
      </tp>
      <tp>
        <v>174285</v>
        <stp/>
        <stp>BOOK0</stp>
        <stp>OVD</stp>
        <stp>4</stp>
        <tr r="E7" s="1"/>
      </tp>
      <tp>
        <v>174290</v>
        <stp/>
        <stp>BOOK0</stp>
        <stp>OVD</stp>
        <stp>5</stp>
        <tr r="E8" s="1"/>
      </tp>
      <tp t="s">
        <v>Genial</v>
        <stp/>
        <stp>BOOK0</stp>
        <stp>AVD</stp>
        <stp>8</stp>
        <tr r="G11" s="1"/>
      </tp>
      <tp>
        <v>174295</v>
        <stp/>
        <stp>BOOK0</stp>
        <stp>OVD</stp>
        <stp>6</stp>
        <tr r="E9" s="1"/>
      </tp>
      <tp t="s">
        <v>BTG</v>
        <stp/>
        <stp>BOOK0</stp>
        <stp>AVD</stp>
        <stp>9</stp>
        <tr r="G12" s="1"/>
      </tp>
      <tp>
        <v>174300</v>
        <stp/>
        <stp>BOOK0</stp>
        <stp>OVD</stp>
        <stp>7</stp>
        <tr r="E10" s="1"/>
      </tp>
      <tp t="s">
        <v>Genial</v>
        <stp/>
        <stp>BOOK0</stp>
        <stp>ACP</stp>
        <stp>6</stp>
        <tr r="B9" s="1"/>
      </tp>
      <tp>
        <v>174215</v>
        <stp/>
        <stp>BOOK0</stp>
        <stp>OCP</stp>
        <stp>8</stp>
        <tr r="D11" s="1"/>
      </tp>
      <tp t="s">
        <v>Genial</v>
        <stp/>
        <stp>BOOK0</stp>
        <stp>ACP</stp>
        <stp>7</stp>
        <tr r="B10" s="1"/>
      </tp>
      <tp>
        <v>174215</v>
        <stp/>
        <stp>BOOK0</stp>
        <stp>OCP</stp>
        <stp>9</stp>
        <tr r="D12" s="1"/>
      </tp>
      <tp t="s">
        <v>BTG</v>
        <stp/>
        <stp>BOOK0</stp>
        <stp>ACP</stp>
        <stp>4</stp>
        <tr r="B7" s="1"/>
      </tp>
      <tp t="s">
        <v>Genial</v>
        <stp/>
        <stp>BOOK0</stp>
        <stp>ACP</stp>
        <stp>5</stp>
        <tr r="B8" s="1"/>
      </tp>
      <tp t="s">
        <v>Genial</v>
        <stp/>
        <stp>BOOK0</stp>
        <stp>ACP</stp>
        <stp>2</stp>
        <tr r="B5" s="1"/>
      </tp>
      <tp t="s">
        <v>Genial</v>
        <stp/>
        <stp>BOOK0</stp>
        <stp>ACP</stp>
        <stp>3</stp>
        <tr r="B6" s="1"/>
      </tp>
      <tp t="s">
        <v>Genial</v>
        <stp/>
        <stp>BOOK0</stp>
        <stp>ACP</stp>
        <stp>0</stp>
        <tr r="B3" s="1"/>
      </tp>
      <tp t="s">
        <v>Genial</v>
        <stp/>
        <stp>BOOK0</stp>
        <stp>ACP</stp>
        <stp>1</stp>
        <tr r="B4" s="1"/>
      </tp>
      <tp>
        <v>174250</v>
        <stp/>
        <stp>BOOK0</stp>
        <stp>OCP</stp>
        <stp>0</stp>
        <tr r="D3" s="1"/>
      </tp>
      <tp>
        <v>174245</v>
        <stp/>
        <stp>BOOK0</stp>
        <stp>OCP</stp>
        <stp>1</stp>
        <tr r="D4" s="1"/>
      </tp>
      <tp>
        <v>174240</v>
        <stp/>
        <stp>BOOK0</stp>
        <stp>OCP</stp>
        <stp>2</stp>
        <tr r="D5" s="1"/>
      </tp>
      <tp>
        <v>174235</v>
        <stp/>
        <stp>BOOK0</stp>
        <stp>OCP</stp>
        <stp>3</stp>
        <tr r="D6" s="1"/>
      </tp>
      <tp>
        <v>174235</v>
        <stp/>
        <stp>BOOK0</stp>
        <stp>OCP</stp>
        <stp>4</stp>
        <tr r="D7" s="1"/>
      </tp>
      <tp>
        <v>174230</v>
        <stp/>
        <stp>BOOK0</stp>
        <stp>OCP</stp>
        <stp>5</stp>
        <tr r="D8" s="1"/>
      </tp>
      <tp t="s">
        <v>Genial</v>
        <stp/>
        <stp>BOOK0</stp>
        <stp>ACP</stp>
        <stp>8</stp>
        <tr r="B11" s="1"/>
      </tp>
      <tp>
        <v>174225</v>
        <stp/>
        <stp>BOOK0</stp>
        <stp>OCP</stp>
        <stp>6</stp>
        <tr r="D9" s="1"/>
      </tp>
      <tp t="s">
        <v>BTG</v>
        <stp/>
        <stp>BOOK0</stp>
        <stp>ACP</stp>
        <stp>9</stp>
        <tr r="B12" s="1"/>
      </tp>
      <tp>
        <v>174220</v>
        <stp/>
        <stp>BOOK0</stp>
        <stp>OCP</stp>
        <stp>7</stp>
        <tr r="D10" s="1"/>
      </tp>
      <tp>
        <v>59</v>
        <stp/>
        <stp>BOOK0</stp>
        <stp>VOV</stp>
        <stp>1</stp>
        <tr r="F4" s="1"/>
      </tp>
      <tp>
        <v>53</v>
        <stp/>
        <stp>BOOK0</stp>
        <stp>VOV</stp>
        <stp>0</stp>
        <tr r="F3" s="1"/>
      </tp>
      <tp>
        <v>57</v>
        <stp/>
        <stp>BOOK0</stp>
        <stp>VOV</stp>
        <stp>3</stp>
        <tr r="F6" s="1"/>
      </tp>
      <tp>
        <v>65</v>
        <stp/>
        <stp>BOOK0</stp>
        <stp>VOV</stp>
        <stp>2</stp>
        <tr r="F5" s="1"/>
      </tp>
      <tp>
        <v>55</v>
        <stp/>
        <stp>BOOK0</stp>
        <stp>VOV</stp>
        <stp>5</stp>
        <tr r="F8" s="1"/>
      </tp>
      <tp>
        <v>63</v>
        <stp/>
        <stp>BOOK0</stp>
        <stp>VOV</stp>
        <stp>4</stp>
        <tr r="F7" s="1"/>
      </tp>
      <tp>
        <v>53</v>
        <stp/>
        <stp>BOOK0</stp>
        <stp>VOV</stp>
        <stp>7</stp>
        <tr r="F10" s="1"/>
      </tp>
      <tp>
        <v>61</v>
        <stp/>
        <stp>BOOK0</stp>
        <stp>VOV</stp>
        <stp>6</stp>
        <tr r="F9" s="1"/>
      </tp>
      <tp>
        <v>102</v>
        <stp/>
        <stp>BOOK0</stp>
        <stp>VOV</stp>
        <stp>9</stp>
        <tr r="F12" s="1"/>
      </tp>
      <tp>
        <v>59</v>
        <stp/>
        <stp>BOOK0</stp>
        <stp>VOV</stp>
        <stp>8</stp>
        <tr r="F11" s="1"/>
      </tp>
      <tp t="s">
        <v>WINV26</v>
        <stp/>
        <stp>BOOK0</stp>
        <stp>INFO</stp>
        <stp>ATV</stp>
        <tr r="A1" s="1"/>
      </tp>
      <tp>
        <v>50</v>
        <stp/>
        <stp>BOOK0</stp>
        <stp>VOC</stp>
        <stp>11</stp>
        <tr r="C14" s="1"/>
      </tp>
      <tp>
        <v>109</v>
        <stp/>
        <stp>BOOK0</stp>
        <stp>VOV</stp>
        <stp>11</stp>
        <tr r="F14" s="1"/>
      </tp>
      <tp>
        <v>150</v>
        <stp/>
        <stp>BOOK0</stp>
        <stp>VOC</stp>
        <stp>10</stp>
        <tr r="C13" s="1"/>
      </tp>
      <tp>
        <v>65</v>
        <stp/>
        <stp>BOOK0</stp>
        <stp>VOV</stp>
        <stp>10</stp>
        <tr r="F13" s="1"/>
      </tp>
      <tp>
        <v>160</v>
        <stp/>
        <stp>BOOK0</stp>
        <stp>VOC</stp>
        <stp>13</stp>
        <tr r="C16" s="1"/>
      </tp>
      <tp>
        <v>64</v>
        <stp/>
        <stp>BOOK0</stp>
        <stp>VOV</stp>
        <stp>13</stp>
        <tr r="F16" s="1"/>
      </tp>
      <tp>
        <v>57</v>
        <stp/>
        <stp>BOOK0</stp>
        <stp>VOC</stp>
        <stp>12</stp>
        <tr r="C15" s="1"/>
      </tp>
      <tp>
        <v>51</v>
        <stp/>
        <stp>BOOK0</stp>
        <stp>VOV</stp>
        <stp>12</stp>
        <tr r="F15" s="1"/>
      </tp>
      <tp>
        <v>60</v>
        <stp/>
        <stp>BOOK0</stp>
        <stp>VOC</stp>
        <stp>15</stp>
        <tr r="C18" s="1"/>
      </tp>
      <tp>
        <v>63</v>
        <stp/>
        <stp>BOOK0</stp>
        <stp>VOV</stp>
        <stp>15</stp>
        <tr r="F18" s="1"/>
      </tp>
      <tp>
        <v>160</v>
        <stp/>
        <stp>BOOK0</stp>
        <stp>VOC</stp>
        <stp>14</stp>
        <tr r="C17" s="1"/>
      </tp>
      <tp>
        <v>122</v>
        <stp/>
        <stp>BOOK0</stp>
        <stp>VOV</stp>
        <stp>14</stp>
        <tr r="F17" s="1"/>
      </tp>
      <tp>
        <v>50</v>
        <stp/>
        <stp>BOOK0</stp>
        <stp>VOC</stp>
        <stp>17</stp>
        <tr r="C20" s="1"/>
      </tp>
      <tp>
        <v>56</v>
        <stp/>
        <stp>BOOK0</stp>
        <stp>VOV</stp>
        <stp>17</stp>
        <tr r="F20" s="1"/>
      </tp>
      <tp>
        <v>50</v>
        <stp/>
        <stp>BOOK0</stp>
        <stp>VOC</stp>
        <stp>16</stp>
        <tr r="C19" s="1"/>
      </tp>
      <tp>
        <v>101</v>
        <stp/>
        <stp>BOOK0</stp>
        <stp>VOV</stp>
        <stp>16</stp>
        <tr r="F19" s="1"/>
      </tp>
      <tp>
        <v>50</v>
        <stp/>
        <stp>BOOK0</stp>
        <stp>VOC</stp>
        <stp>19</stp>
        <tr r="C22" s="1"/>
      </tp>
      <tp>
        <v>108</v>
        <stp/>
        <stp>BOOK0</stp>
        <stp>VOV</stp>
        <stp>19</stp>
        <tr r="F22" s="1"/>
      </tp>
      <tp>
        <v>500</v>
        <stp/>
        <stp>BOOK0</stp>
        <stp>VOC</stp>
        <stp>18</stp>
        <tr r="C21" s="1"/>
      </tp>
      <tp>
        <v>55</v>
        <stp/>
        <stp>BOOK0</stp>
        <stp>VOV</stp>
        <stp>18</stp>
        <tr r="F21" s="1"/>
      </tp>
      <tp>
        <v>139</v>
        <stp/>
        <stp>BOOK0</stp>
        <stp>VOC</stp>
        <stp>31</stp>
        <tr r="C34" s="1"/>
      </tp>
      <tp>
        <v>240</v>
        <stp/>
        <stp>BOOK0</stp>
        <stp>VOV</stp>
        <stp>31</stp>
        <tr r="F34" s="1"/>
      </tp>
      <tp>
        <v>141</v>
        <stp/>
        <stp>BOOK0</stp>
        <stp>VOC</stp>
        <stp>30</stp>
        <tr r="C33" s="1"/>
      </tp>
      <tp>
        <v>53</v>
        <stp/>
        <stp>BOOK0</stp>
        <stp>VOV</stp>
        <stp>30</stp>
        <tr r="F33" s="1"/>
      </tp>
      <tp>
        <v>143</v>
        <stp/>
        <stp>BOOK0</stp>
        <stp>VOC</stp>
        <stp>33</stp>
        <tr r="C36" s="1"/>
      </tp>
      <tp>
        <v>110</v>
        <stp/>
        <stp>BOOK0</stp>
        <stp>VOV</stp>
        <stp>33</stp>
        <tr r="F36" s="1"/>
      </tp>
      <tp>
        <v>50</v>
        <stp/>
        <stp>BOOK0</stp>
        <stp>VOC</stp>
        <stp>32</stp>
        <tr r="C35" s="1"/>
      </tp>
      <tp>
        <v>65</v>
        <stp/>
        <stp>BOOK0</stp>
        <stp>VOV</stp>
        <stp>32</stp>
        <tr r="F35" s="1"/>
      </tp>
      <tp>
        <v>50</v>
        <stp/>
        <stp>BOOK0</stp>
        <stp>VOC</stp>
        <stp>35</stp>
        <tr r="C38" s="1"/>
      </tp>
      <tp>
        <v>57</v>
        <stp/>
        <stp>BOOK0</stp>
        <stp>VOV</stp>
        <stp>35</stp>
        <tr r="F38" s="1"/>
      </tp>
      <tp>
        <v>143</v>
        <stp/>
        <stp>BOOK0</stp>
        <stp>VOC</stp>
        <stp>34</stp>
        <tr r="C37" s="1"/>
      </tp>
      <tp>
        <v>50</v>
        <stp/>
        <stp>BOOK0</stp>
        <stp>VOV</stp>
        <stp>34</stp>
        <tr r="F37" s="1"/>
      </tp>
      <tp>
        <v>140</v>
        <stp/>
        <stp>BOOK0</stp>
        <stp>VOC</stp>
        <stp>37</stp>
        <tr r="C40" s="1"/>
      </tp>
      <tp>
        <v>52</v>
        <stp/>
        <stp>BOOK0</stp>
        <stp>VOV</stp>
        <stp>37</stp>
        <tr r="F40" s="1"/>
      </tp>
      <tp>
        <v>141</v>
        <stp/>
        <stp>BOOK0</stp>
        <stp>VOC</stp>
        <stp>36</stp>
        <tr r="C39" s="1"/>
      </tp>
      <tp>
        <v>108</v>
        <stp/>
        <stp>BOOK0</stp>
        <stp>VOV</stp>
        <stp>36</stp>
        <tr r="F39" s="1"/>
      </tp>
      <tp>
        <v>59</v>
        <stp/>
        <stp>BOOK0</stp>
        <stp>VOC</stp>
        <stp>39</stp>
        <tr r="C42" s="1"/>
      </tp>
      <tp>
        <v>63</v>
        <stp/>
        <stp>BOOK0</stp>
        <stp>VOV</stp>
        <stp>39</stp>
        <tr r="F42" s="1"/>
      </tp>
      <tp>
        <v>50</v>
        <stp/>
        <stp>BOOK0</stp>
        <stp>VOC</stp>
        <stp>38</stp>
        <tr r="C41" s="1"/>
      </tp>
      <tp>
        <v>50</v>
        <stp/>
        <stp>BOOK0</stp>
        <stp>VOV</stp>
        <stp>38</stp>
        <tr r="F41" s="1"/>
      </tp>
      <tp>
        <v>160</v>
        <stp/>
        <stp>BOOK0</stp>
        <stp>VOC</stp>
        <stp>21</stp>
        <tr r="C24" s="1"/>
      </tp>
      <tp>
        <v>61</v>
        <stp/>
        <stp>BOOK0</stp>
        <stp>VOV</stp>
        <stp>21</stp>
        <tr r="F24" s="1"/>
      </tp>
      <tp>
        <v>50</v>
        <stp/>
        <stp>BOOK0</stp>
        <stp>VOC</stp>
        <stp>20</stp>
        <tr r="C23" s="1"/>
      </tp>
      <tp>
        <v>50</v>
        <stp/>
        <stp>BOOK0</stp>
        <stp>VOV</stp>
        <stp>20</stp>
        <tr r="F23" s="1"/>
      </tp>
      <tp>
        <v>160</v>
        <stp/>
        <stp>BOOK0</stp>
        <stp>VOC</stp>
        <stp>23</stp>
        <tr r="C26" s="1"/>
      </tp>
      <tp>
        <v>51</v>
        <stp/>
        <stp>BOOK0</stp>
        <stp>VOV</stp>
        <stp>23</stp>
        <tr r="F26" s="1"/>
      </tp>
      <tp>
        <v>51</v>
        <stp/>
        <stp>BOOK0</stp>
        <stp>VOC</stp>
        <stp>22</stp>
        <tr r="C25" s="1"/>
      </tp>
      <tp>
        <v>106</v>
        <stp/>
        <stp>BOOK0</stp>
        <stp>VOV</stp>
        <stp>22</stp>
        <tr r="F25" s="1"/>
      </tp>
      <tp>
        <v>160</v>
        <stp/>
        <stp>BOOK0</stp>
        <stp>VOC</stp>
        <stp>25</stp>
        <tr r="C28" s="1"/>
      </tp>
      <tp>
        <v>66</v>
        <stp/>
        <stp>BOOK0</stp>
        <stp>VOV</stp>
        <stp>25</stp>
        <tr r="F28" s="1"/>
      </tp>
      <tp>
        <v>100</v>
        <stp/>
        <stp>BOOK0</stp>
        <stp>VOC</stp>
        <stp>24</stp>
        <tr r="C27" s="1"/>
      </tp>
      <tp>
        <v>100</v>
        <stp/>
        <stp>BOOK0</stp>
        <stp>VOV</stp>
        <stp>24</stp>
        <tr r="F27" s="1"/>
      </tp>
      <tp>
        <v>50</v>
        <stp/>
        <stp>BOOK0</stp>
        <stp>VOC</stp>
        <stp>27</stp>
        <tr r="C30" s="1"/>
      </tp>
      <tp>
        <v>59</v>
        <stp/>
        <stp>BOOK0</stp>
        <stp>VOV</stp>
        <stp>27</stp>
        <tr r="F30" s="1"/>
      </tp>
      <tp>
        <v>100</v>
        <stp/>
        <stp>BOOK0</stp>
        <stp>VOC</stp>
        <stp>26</stp>
        <tr r="C29" s="1"/>
      </tp>
      <tp>
        <v>98</v>
        <stp/>
        <stp>BOOK0</stp>
        <stp>VOV</stp>
        <stp>26</stp>
        <tr r="F29" s="1"/>
      </tp>
      <tp>
        <v>78</v>
        <stp/>
        <stp>BOOK0</stp>
        <stp>VOC</stp>
        <stp>29</stp>
        <tr r="C32" s="1"/>
      </tp>
      <tp>
        <v>107</v>
        <stp/>
        <stp>BOOK0</stp>
        <stp>VOV</stp>
        <stp>29</stp>
        <tr r="F32" s="1"/>
      </tp>
      <tp>
        <v>159</v>
        <stp/>
        <stp>BOOK0</stp>
        <stp>VOC</stp>
        <stp>28</stp>
        <tr r="C31" s="1"/>
      </tp>
      <tp>
        <v>59</v>
        <stp/>
        <stp>BOOK0</stp>
        <stp>VOV</stp>
        <stp>28</stp>
        <tr r="F31" s="1"/>
      </tp>
      <tp>
        <v>140</v>
        <stp/>
        <stp>BOOK0</stp>
        <stp>VOC</stp>
        <stp>41</stp>
        <tr r="C44" s="1"/>
      </tp>
      <tp>
        <v>61</v>
        <stp/>
        <stp>BOOK0</stp>
        <stp>VOV</stp>
        <stp>41</stp>
        <tr r="F44" s="1"/>
      </tp>
      <tp>
        <v>50</v>
        <stp/>
        <stp>BOOK0</stp>
        <stp>VOC</stp>
        <stp>40</stp>
        <tr r="C43" s="1"/>
      </tp>
      <tp>
        <v>99</v>
        <stp/>
        <stp>BOOK0</stp>
        <stp>VOV</stp>
        <stp>40</stp>
        <tr r="F43" s="1"/>
      </tp>
      <tp>
        <v>50</v>
        <stp/>
        <stp>BOOK0</stp>
        <stp>VOC</stp>
        <stp>43</stp>
        <tr r="C46" s="1"/>
      </tp>
      <tp>
        <v>106</v>
        <stp/>
        <stp>BOOK0</stp>
        <stp>VOV</stp>
        <stp>43</stp>
        <tr r="F46" s="1"/>
      </tp>
      <tp>
        <v>100</v>
        <stp/>
        <stp>BOOK0</stp>
        <stp>VOC</stp>
        <stp>42</stp>
        <tr r="C45" s="1"/>
      </tp>
      <tp>
        <v>55</v>
        <stp/>
        <stp>BOOK0</stp>
        <stp>VOV</stp>
        <stp>42</stp>
        <tr r="F45" s="1"/>
      </tp>
      <tp>
        <v>140</v>
        <stp/>
        <stp>BOOK0</stp>
        <stp>VOC</stp>
        <stp>45</stp>
        <tr r="C48" s="1"/>
      </tp>
      <tp>
        <v>61</v>
        <stp/>
        <stp>BOOK0</stp>
        <stp>VOV</stp>
        <stp>45</stp>
        <tr r="F48" s="1"/>
      </tp>
      <tp>
        <v>140</v>
        <stp/>
        <stp>BOOK0</stp>
        <stp>VOC</stp>
        <stp>44</stp>
        <tr r="C47" s="1"/>
      </tp>
      <tp>
        <v>54</v>
        <stp/>
        <stp>BOOK0</stp>
        <stp>VOV</stp>
        <stp>44</stp>
        <tr r="F47" s="1"/>
      </tp>
      <tp>
        <v>50</v>
        <stp/>
        <stp>BOOK0</stp>
        <stp>VOC</stp>
        <stp>47</stp>
        <tr r="C50" s="1"/>
      </tp>
      <tp>
        <v>61</v>
        <stp/>
        <stp>BOOK0</stp>
        <stp>VOV</stp>
        <stp>47</stp>
        <tr r="F50" s="1"/>
      </tp>
      <tp>
        <v>50</v>
        <stp/>
        <stp>BOOK0</stp>
        <stp>VOC</stp>
        <stp>46</stp>
        <tr r="C49" s="1"/>
      </tp>
      <tp>
        <v>99</v>
        <stp/>
        <stp>BOOK0</stp>
        <stp>VOV</stp>
        <stp>46</stp>
        <tr r="F49" s="1"/>
      </tp>
      <tp>
        <v>100</v>
        <stp/>
        <stp>BOOK0</stp>
        <stp>VOC</stp>
        <stp>49</stp>
        <tr r="C52" s="1"/>
      </tp>
      <tp>
        <v>66</v>
        <stp/>
        <stp>BOOK0</stp>
        <stp>VOV</stp>
        <stp>49</stp>
        <tr r="F52" s="1"/>
      </tp>
      <tp>
        <v>140</v>
        <stp/>
        <stp>BOOK0</stp>
        <stp>VOC</stp>
        <stp>48</stp>
        <tr r="C51" s="1"/>
      </tp>
      <tp>
        <v>250</v>
        <stp/>
        <stp>BOOK0</stp>
        <stp>VOV</stp>
        <stp>48</stp>
        <tr r="F51" s="1"/>
      </tp>
      <tp t="s">
        <v>BTG</v>
        <stp/>
        <stp>BOOK0</stp>
        <stp>AVD</stp>
        <stp>48</stp>
        <tr r="G51" s="1"/>
      </tp>
      <tp t="s">
        <v>Genial</v>
        <stp/>
        <stp>BOOK0</stp>
        <stp>AVD</stp>
        <stp>49</stp>
        <tr r="G52" s="1"/>
      </tp>
      <tp t="s">
        <v>BTG</v>
        <stp/>
        <stp>BOOK0</stp>
        <stp>AVD</stp>
        <stp>40</stp>
        <tr r="G43" s="1"/>
      </tp>
      <tp t="s">
        <v>BTG</v>
        <stp/>
        <stp>BOOK0</stp>
        <stp>AVD</stp>
        <stp>41</stp>
        <tr r="G44" s="1"/>
      </tp>
      <tp t="s">
        <v>Genial</v>
        <stp/>
        <stp>BOOK0</stp>
        <stp>AVD</stp>
        <stp>42</stp>
        <tr r="G45" s="1"/>
      </tp>
      <tp t="s">
        <v>BTG</v>
        <stp/>
        <stp>BOOK0</stp>
        <stp>AVD</stp>
        <stp>43</stp>
        <tr r="G46" s="1"/>
      </tp>
      <tp t="s">
        <v>BTG</v>
        <stp/>
        <stp>BOOK0</stp>
        <stp>AVD</stp>
        <stp>44</stp>
        <tr r="G47" s="1"/>
      </tp>
      <tp t="s">
        <v>Genial</v>
        <stp/>
        <stp>BOOK0</stp>
        <stp>AVD</stp>
        <stp>45</stp>
        <tr r="G48" s="1"/>
      </tp>
      <tp t="s">
        <v>BTG</v>
        <stp/>
        <stp>BOOK0</stp>
        <stp>AVD</stp>
        <stp>46</stp>
        <tr r="G49" s="1"/>
      </tp>
      <tp t="s">
        <v>BTG</v>
        <stp/>
        <stp>BOOK0</stp>
        <stp>AVD</stp>
        <stp>47</stp>
        <tr r="G50" s="1"/>
      </tp>
      <tp t="s">
        <v>XP</v>
        <stp/>
        <stp>BOOK0</stp>
        <stp>ACP</stp>
        <stp>49</stp>
        <tr r="B52" s="1"/>
      </tp>
      <tp t="s">
        <v>BTG</v>
        <stp/>
        <stp>BOOK0</stp>
        <stp>ACP</stp>
        <stp>48</stp>
        <tr r="B51" s="1"/>
      </tp>
      <tp t="s">
        <v>BTG</v>
        <stp/>
        <stp>BOOK0</stp>
        <stp>ACP</stp>
        <stp>45</stp>
        <tr r="B48" s="1"/>
      </tp>
      <tp t="s">
        <v>BTG</v>
        <stp/>
        <stp>BOOK0</stp>
        <stp>ACP</stp>
        <stp>44</stp>
        <tr r="B47" s="1"/>
      </tp>
      <tp t="s">
        <v>XP</v>
        <stp/>
        <stp>BOOK0</stp>
        <stp>ACP</stp>
        <stp>47</stp>
        <tr r="B50" s="1"/>
      </tp>
      <tp t="s">
        <v>XP</v>
        <stp/>
        <stp>BOOK0</stp>
        <stp>ACP</stp>
        <stp>46</stp>
        <tr r="B49" s="1"/>
      </tp>
      <tp t="s">
        <v>BTG</v>
        <stp/>
        <stp>BOOK0</stp>
        <stp>ACP</stp>
        <stp>41</stp>
        <tr r="B44" s="1"/>
      </tp>
      <tp t="s">
        <v>Necton</v>
        <stp/>
        <stp>BOOK0</stp>
        <stp>ACP</stp>
        <stp>40</stp>
        <tr r="B43" s="1"/>
      </tp>
      <tp t="s">
        <v>XP</v>
        <stp/>
        <stp>BOOK0</stp>
        <stp>ACP</stp>
        <stp>43</stp>
        <tr r="B46" s="1"/>
      </tp>
      <tp t="s">
        <v>Agora</v>
        <stp/>
        <stp>BOOK0</stp>
        <stp>ACP</stp>
        <stp>42</stp>
        <tr r="B45" s="1"/>
      </tp>
      <tp t="s">
        <v>Genial</v>
        <stp/>
        <stp>BOOK0</stp>
        <stp>AVD</stp>
        <stp>28</stp>
        <tr r="G31" s="1"/>
      </tp>
      <tp t="s">
        <v>BTG</v>
        <stp/>
        <stp>BOOK0</stp>
        <stp>AVD</stp>
        <stp>29</stp>
        <tr r="G32" s="1"/>
      </tp>
      <tp t="s">
        <v>BTG</v>
        <stp/>
        <stp>BOOK0</stp>
        <stp>AVD</stp>
        <stp>20</stp>
        <tr r="G23" s="1"/>
      </tp>
      <tp t="s">
        <v>Genial</v>
        <stp/>
        <stp>BOOK0</stp>
        <stp>AVD</stp>
        <stp>21</stp>
        <tr r="G24" s="1"/>
      </tp>
      <tp t="s">
        <v>BTG</v>
        <stp/>
        <stp>BOOK0</stp>
        <stp>AVD</stp>
        <stp>22</stp>
        <tr r="G25" s="1"/>
      </tp>
      <tp t="s">
        <v>BTG</v>
        <stp/>
        <stp>BOOK0</stp>
        <stp>AVD</stp>
        <stp>23</stp>
        <tr r="G26" s="1"/>
      </tp>
      <tp t="s">
        <v>Agora</v>
        <stp/>
        <stp>BOOK0</stp>
        <stp>AVD</stp>
        <stp>24</stp>
        <tr r="G27" s="1"/>
      </tp>
      <tp t="s">
        <v>Genial</v>
        <stp/>
        <stp>BOOK0</stp>
        <stp>AVD</stp>
        <stp>25</stp>
        <tr r="G28" s="1"/>
      </tp>
      <tp t="s">
        <v>BTG</v>
        <stp/>
        <stp>BOOK0</stp>
        <stp>AVD</stp>
        <stp>26</stp>
        <tr r="G29" s="1"/>
      </tp>
      <tp t="s">
        <v>BTG</v>
        <stp/>
        <stp>BOOK0</stp>
        <stp>AVD</stp>
        <stp>27</stp>
        <tr r="G30" s="1"/>
      </tp>
      <tp t="s">
        <v>LEV</v>
        <stp/>
        <stp>BOOK0</stp>
        <stp>ACP</stp>
        <stp>29</stp>
        <tr r="B32" s="1"/>
      </tp>
      <tp t="s">
        <v>BTG</v>
        <stp/>
        <stp>BOOK0</stp>
        <stp>ACP</stp>
        <stp>28</stp>
        <tr r="B31" s="1"/>
      </tp>
      <tp t="s">
        <v>BTG</v>
        <stp/>
        <stp>BOOK0</stp>
        <stp>ACP</stp>
        <stp>25</stp>
        <tr r="B28" s="1"/>
      </tp>
      <tp t="s">
        <v>Itau</v>
        <stp/>
        <stp>BOOK0</stp>
        <stp>ACP</stp>
        <stp>24</stp>
        <tr r="B27" s="1"/>
      </tp>
      <tp t="s">
        <v>XP</v>
        <stp/>
        <stp>BOOK0</stp>
        <stp>ACP</stp>
        <stp>27</stp>
        <tr r="B30" s="1"/>
      </tp>
      <tp t="s">
        <v>Agora</v>
        <stp/>
        <stp>BOOK0</stp>
        <stp>ACP</stp>
        <stp>26</stp>
        <tr r="B29" s="1"/>
      </tp>
      <tp t="s">
        <v>BTG</v>
        <stp/>
        <stp>BOOK0</stp>
        <stp>ACP</stp>
        <stp>21</stp>
        <tr r="B24" s="1"/>
      </tp>
      <tp t="s">
        <v>XP</v>
        <stp/>
        <stp>BOOK0</stp>
        <stp>ACP</stp>
        <stp>20</stp>
        <tr r="B23" s="1"/>
      </tp>
      <tp t="s">
        <v>BTG</v>
        <stp/>
        <stp>BOOK0</stp>
        <stp>ACP</stp>
        <stp>23</stp>
        <tr r="B26" s="1"/>
      </tp>
      <tp t="s">
        <v>XP</v>
        <stp/>
        <stp>BOOK0</stp>
        <stp>ACP</stp>
        <stp>22</stp>
        <tr r="B25" s="1"/>
      </tp>
      <tp t="s">
        <v>XP</v>
        <stp/>
        <stp>BOOK0</stp>
        <stp>AVD</stp>
        <stp>38</stp>
        <tr r="G41" s="1"/>
      </tp>
      <tp t="s">
        <v>Genial</v>
        <stp/>
        <stp>BOOK0</stp>
        <stp>AVD</stp>
        <stp>39</stp>
        <tr r="G42" s="1"/>
      </tp>
      <tp t="s">
        <v>BTG</v>
        <stp/>
        <stp>BOOK0</stp>
        <stp>AVD</stp>
        <stp>30</stp>
        <tr r="G33" s="1"/>
      </tp>
      <tp t="s">
        <v>XP</v>
        <stp/>
        <stp>BOOK0</stp>
        <stp>AVD</stp>
        <stp>31</stp>
        <tr r="G34" s="1"/>
      </tp>
      <tp t="s">
        <v>Genial</v>
        <stp/>
        <stp>BOOK0</stp>
        <stp>AVD</stp>
        <stp>32</stp>
        <tr r="G35" s="1"/>
      </tp>
      <tp t="s">
        <v>BTG</v>
        <stp/>
        <stp>BOOK0</stp>
        <stp>AVD</stp>
        <stp>33</stp>
        <tr r="G36" s="1"/>
      </tp>
      <tp t="s">
        <v>BTG</v>
        <stp/>
        <stp>BOOK0</stp>
        <stp>AVD</stp>
        <stp>34</stp>
        <tr r="G37" s="1"/>
      </tp>
      <tp t="s">
        <v>Genial</v>
        <stp/>
        <stp>BOOK0</stp>
        <stp>AVD</stp>
        <stp>35</stp>
        <tr r="G38" s="1"/>
      </tp>
      <tp t="s">
        <v>BTG</v>
        <stp/>
        <stp>BOOK0</stp>
        <stp>AVD</stp>
        <stp>36</stp>
        <tr r="G39" s="1"/>
      </tp>
      <tp t="s">
        <v>BTG</v>
        <stp/>
        <stp>BOOK0</stp>
        <stp>AVD</stp>
        <stp>37</stp>
        <tr r="G40" s="1"/>
      </tp>
      <tp t="s">
        <v>CM Capital</v>
        <stp/>
        <stp>BOOK0</stp>
        <stp>ACP</stp>
        <stp>39</stp>
        <tr r="B42" s="1"/>
      </tp>
      <tp t="s">
        <v>XP</v>
        <stp/>
        <stp>BOOK0</stp>
        <stp>ACP</stp>
        <stp>38</stp>
        <tr r="B41" s="1"/>
      </tp>
      <tp t="s">
        <v>CM Capital</v>
        <stp/>
        <stp>BOOK0</stp>
        <stp>ACP</stp>
        <stp>35</stp>
        <tr r="B38" s="1"/>
      </tp>
      <tp t="s">
        <v>BTG</v>
        <stp/>
        <stp>BOOK0</stp>
        <stp>ACP</stp>
        <stp>34</stp>
        <tr r="B37" s="1"/>
      </tp>
      <tp t="s">
        <v>BTG</v>
        <stp/>
        <stp>BOOK0</stp>
        <stp>ACP</stp>
        <stp>37</stp>
        <tr r="B40" s="1"/>
      </tp>
      <tp t="s">
        <v>BTG</v>
        <stp/>
        <stp>BOOK0</stp>
        <stp>ACP</stp>
        <stp>36</stp>
        <tr r="B39" s="1"/>
      </tp>
      <tp t="s">
        <v>BTG</v>
        <stp/>
        <stp>BOOK0</stp>
        <stp>ACP</stp>
        <stp>31</stp>
        <tr r="B34" s="1"/>
      </tp>
      <tp t="s">
        <v>BTG</v>
        <stp/>
        <stp>BOOK0</stp>
        <stp>ACP</stp>
        <stp>30</stp>
        <tr r="B33" s="1"/>
      </tp>
      <tp t="s">
        <v>BTG</v>
        <stp/>
        <stp>BOOK0</stp>
        <stp>ACP</stp>
        <stp>33</stp>
        <tr r="B36" s="1"/>
      </tp>
      <tp t="s">
        <v>BTG</v>
        <stp/>
        <stp>BOOK0</stp>
        <stp>ACP</stp>
        <stp>32</stp>
        <tr r="B35" s="1"/>
      </tp>
      <tp t="s">
        <v>Genial</v>
        <stp/>
        <stp>BOOK0</stp>
        <stp>AVD</stp>
        <stp>18</stp>
        <tr r="G21" s="1"/>
      </tp>
      <tp t="s">
        <v>BTG</v>
        <stp/>
        <stp>BOOK0</stp>
        <stp>AVD</stp>
        <stp>19</stp>
        <tr r="G22" s="1"/>
      </tp>
      <tp t="s">
        <v>Genial</v>
        <stp/>
        <stp>BOOK0</stp>
        <stp>AVD</stp>
        <stp>10</stp>
        <tr r="G13" s="1"/>
      </tp>
      <tp t="s">
        <v>BTG</v>
        <stp/>
        <stp>BOOK0</stp>
        <stp>AVD</stp>
        <stp>11</stp>
        <tr r="G14" s="1"/>
      </tp>
      <tp t="s">
        <v>BTG</v>
        <stp/>
        <stp>BOOK0</stp>
        <stp>AVD</stp>
        <stp>12</stp>
        <tr r="G15" s="1"/>
      </tp>
      <tp t="s">
        <v>Genial</v>
        <stp/>
        <stp>BOOK0</stp>
        <stp>AVD</stp>
        <stp>13</stp>
        <tr r="G16" s="1"/>
      </tp>
      <tp t="s">
        <v>BTG</v>
        <stp/>
        <stp>BOOK0</stp>
        <stp>AVD</stp>
        <stp>14</stp>
        <tr r="G17" s="1"/>
      </tp>
      <tp t="s">
        <v>Genial</v>
        <stp/>
        <stp>BOOK0</stp>
        <stp>AVD</stp>
        <stp>15</stp>
        <tr r="G18" s="1"/>
      </tp>
      <tp t="s">
        <v>BTG</v>
        <stp/>
        <stp>BOOK0</stp>
        <stp>AVD</stp>
        <stp>16</stp>
        <tr r="G19" s="1"/>
      </tp>
      <tp t="s">
        <v>BTG</v>
        <stp/>
        <stp>BOOK0</stp>
        <stp>AVD</stp>
        <stp>17</stp>
        <tr r="G20" s="1"/>
      </tp>
      <tp t="s">
        <v>XP</v>
        <stp/>
        <stp>BOOK0</stp>
        <stp>ACP</stp>
        <stp>19</stp>
        <tr r="B22" s="1"/>
      </tp>
      <tp t="s">
        <v>XP</v>
        <stp/>
        <stp>BOOK0</stp>
        <stp>ACP</stp>
        <stp>18</stp>
        <tr r="B21" s="1"/>
      </tp>
      <tp t="s">
        <v>XP</v>
        <stp/>
        <stp>BOOK0</stp>
        <stp>ACP</stp>
        <stp>15</stp>
        <tr r="B18" s="1"/>
      </tp>
      <tp t="s">
        <v>BTG</v>
        <stp/>
        <stp>BOOK0</stp>
        <stp>ACP</stp>
        <stp>14</stp>
        <tr r="B17" s="1"/>
      </tp>
      <tp t="s">
        <v>Necton</v>
        <stp/>
        <stp>BOOK0</stp>
        <stp>ACP</stp>
        <stp>17</stp>
        <tr r="B20" s="1"/>
      </tp>
      <tp t="s">
        <v>XP</v>
        <stp/>
        <stp>BOOK0</stp>
        <stp>ACP</stp>
        <stp>16</stp>
        <tr r="B19" s="1"/>
      </tp>
      <tp t="s">
        <v>Genial</v>
        <stp/>
        <stp>BOOK0</stp>
        <stp>ACP</stp>
        <stp>11</stp>
        <tr r="B14" s="1"/>
      </tp>
      <tp t="s">
        <v>Genial</v>
        <stp/>
        <stp>BOOK0</stp>
        <stp>ACP</stp>
        <stp>10</stp>
        <tr r="B13" s="1"/>
      </tp>
      <tp t="s">
        <v>BTG</v>
        <stp/>
        <stp>BOOK0</stp>
        <stp>ACP</stp>
        <stp>13</stp>
        <tr r="B16" s="1"/>
      </tp>
      <tp t="s">
        <v>Genial</v>
        <stp/>
        <stp>BOOK0</stp>
        <stp>ACP</stp>
        <stp>12</stp>
        <tr r="B15" s="1"/>
      </tp>
      <tp>
        <v>174325</v>
        <stp/>
        <stp>BOOK0</stp>
        <stp>OVD</stp>
        <stp>18</stp>
        <tr r="E21" s="1"/>
      </tp>
      <tp>
        <v>174325</v>
        <stp/>
        <stp>BOOK0</stp>
        <stp>OVD</stp>
        <stp>19</stp>
        <tr r="E22" s="1"/>
      </tp>
      <tp>
        <v>174310</v>
        <stp/>
        <stp>BOOK0</stp>
        <stp>OVD</stp>
        <stp>10</stp>
        <tr r="E13" s="1"/>
      </tp>
      <tp>
        <v>174310</v>
        <stp/>
        <stp>BOOK0</stp>
        <stp>OVD</stp>
        <stp>11</stp>
        <tr r="E14" s="1"/>
      </tp>
      <tp>
        <v>174310</v>
        <stp/>
        <stp>BOOK0</stp>
        <stp>OVD</stp>
        <stp>12</stp>
        <tr r="E15" s="1"/>
      </tp>
      <tp>
        <v>174315</v>
        <stp/>
        <stp>BOOK0</stp>
        <stp>OVD</stp>
        <stp>13</stp>
        <tr r="E16" s="1"/>
      </tp>
      <tp>
        <v>174315</v>
        <stp/>
        <stp>BOOK0</stp>
        <stp>OVD</stp>
        <stp>14</stp>
        <tr r="E17" s="1"/>
      </tp>
      <tp>
        <v>174320</v>
        <stp/>
        <stp>BOOK0</stp>
        <stp>OVD</stp>
        <stp>15</stp>
        <tr r="E18" s="1"/>
      </tp>
      <tp>
        <v>174320</v>
        <stp/>
        <stp>BOOK0</stp>
        <stp>OVD</stp>
        <stp>16</stp>
        <tr r="E19" s="1"/>
      </tp>
      <tp>
        <v>174320</v>
        <stp/>
        <stp>BOOK0</stp>
        <stp>OVD</stp>
        <stp>17</stp>
        <tr r="E20" s="1"/>
      </tp>
      <tp>
        <v>174200</v>
        <stp/>
        <stp>BOOK0</stp>
        <stp>OCP</stp>
        <stp>19</stp>
        <tr r="D22" s="1"/>
      </tp>
      <tp>
        <v>174200</v>
        <stp/>
        <stp>BOOK0</stp>
        <stp>OCP</stp>
        <stp>18</stp>
        <tr r="D21" s="1"/>
      </tp>
      <tp>
        <v>174205</v>
        <stp/>
        <stp>BOOK0</stp>
        <stp>OCP</stp>
        <stp>15</stp>
        <tr r="D18" s="1"/>
      </tp>
      <tp>
        <v>174205</v>
        <stp/>
        <stp>BOOK0</stp>
        <stp>OCP</stp>
        <stp>14</stp>
        <tr r="D17" s="1"/>
      </tp>
      <tp>
        <v>174200</v>
        <stp/>
        <stp>BOOK0</stp>
        <stp>OCP</stp>
        <stp>17</stp>
        <tr r="D20" s="1"/>
      </tp>
      <tp>
        <v>174200</v>
        <stp/>
        <stp>BOOK0</stp>
        <stp>OCP</stp>
        <stp>16</stp>
        <tr r="D19" s="1"/>
      </tp>
      <tp>
        <v>174215</v>
        <stp/>
        <stp>BOOK0</stp>
        <stp>OCP</stp>
        <stp>11</stp>
        <tr r="D14" s="1"/>
      </tp>
      <tp>
        <v>174215</v>
        <stp/>
        <stp>BOOK0</stp>
        <stp>OCP</stp>
        <stp>10</stp>
        <tr r="D13" s="1"/>
      </tp>
      <tp>
        <v>174210</v>
        <stp/>
        <stp>BOOK0</stp>
        <stp>OCP</stp>
        <stp>13</stp>
        <tr r="D16" s="1"/>
      </tp>
      <tp>
        <v>174210</v>
        <stp/>
        <stp>BOOK0</stp>
        <stp>OCP</stp>
        <stp>12</stp>
        <tr r="D15" s="1"/>
      </tp>
      <tp>
        <v>174340</v>
        <stp/>
        <stp>BOOK0</stp>
        <stp>OVD</stp>
        <stp>28</stp>
        <tr r="E31" s="1"/>
      </tp>
      <tp>
        <v>174340</v>
        <stp/>
        <stp>BOOK0</stp>
        <stp>OVD</stp>
        <stp>29</stp>
        <tr r="E32" s="1"/>
      </tp>
      <tp>
        <v>174325</v>
        <stp/>
        <stp>BOOK0</stp>
        <stp>OVD</stp>
        <stp>20</stp>
        <tr r="E23" s="1"/>
      </tp>
      <tp>
        <v>174330</v>
        <stp/>
        <stp>BOOK0</stp>
        <stp>OVD</stp>
        <stp>21</stp>
        <tr r="E24" s="1"/>
      </tp>
      <tp>
        <v>174330</v>
        <stp/>
        <stp>BOOK0</stp>
        <stp>OVD</stp>
        <stp>22</stp>
        <tr r="E25" s="1"/>
      </tp>
      <tp>
        <v>174330</v>
        <stp/>
        <stp>BOOK0</stp>
        <stp>OVD</stp>
        <stp>23</stp>
        <tr r="E26" s="1"/>
      </tp>
      <tp>
        <v>174330</v>
        <stp/>
        <stp>BOOK0</stp>
        <stp>OVD</stp>
        <stp>24</stp>
        <tr r="E27" s="1"/>
      </tp>
      <tp>
        <v>174335</v>
        <stp/>
        <stp>BOOK0</stp>
        <stp>OVD</stp>
        <stp>25</stp>
        <tr r="E28" s="1"/>
      </tp>
      <tp>
        <v>174335</v>
        <stp/>
        <stp>BOOK0</stp>
        <stp>OVD</stp>
        <stp>26</stp>
        <tr r="E29" s="1"/>
      </tp>
      <tp>
        <v>174335</v>
        <stp/>
        <stp>BOOK0</stp>
        <stp>OVD</stp>
        <stp>27</stp>
        <tr r="E30" s="1"/>
      </tp>
      <tp>
        <v>174180</v>
        <stp/>
        <stp>BOOK0</stp>
        <stp>OCP</stp>
        <stp>29</stp>
        <tr r="D32" s="1"/>
      </tp>
      <tp>
        <v>174185</v>
        <stp/>
        <stp>BOOK0</stp>
        <stp>OCP</stp>
        <stp>28</stp>
        <tr r="D31" s="1"/>
      </tp>
      <tp>
        <v>174190</v>
        <stp/>
        <stp>BOOK0</stp>
        <stp>OCP</stp>
        <stp>25</stp>
        <tr r="D28" s="1"/>
      </tp>
      <tp>
        <v>174190</v>
        <stp/>
        <stp>BOOK0</stp>
        <stp>OCP</stp>
        <stp>24</stp>
        <tr r="D27" s="1"/>
      </tp>
      <tp>
        <v>174185</v>
        <stp/>
        <stp>BOOK0</stp>
        <stp>OCP</stp>
        <stp>27</stp>
        <tr r="D30" s="1"/>
      </tp>
      <tp>
        <v>174190</v>
        <stp/>
        <stp>BOOK0</stp>
        <stp>OCP</stp>
        <stp>26</stp>
        <tr r="D29" s="1"/>
      </tp>
      <tp>
        <v>174200</v>
        <stp/>
        <stp>BOOK0</stp>
        <stp>OCP</stp>
        <stp>21</stp>
        <tr r="D24" s="1"/>
      </tp>
      <tp>
        <v>174200</v>
        <stp/>
        <stp>BOOK0</stp>
        <stp>OCP</stp>
        <stp>20</stp>
        <tr r="D23" s="1"/>
      </tp>
      <tp>
        <v>174195</v>
        <stp/>
        <stp>BOOK0</stp>
        <stp>OCP</stp>
        <stp>23</stp>
        <tr r="D26" s="1"/>
      </tp>
      <tp>
        <v>174195</v>
        <stp/>
        <stp>BOOK0</stp>
        <stp>OCP</stp>
        <stp>22</stp>
        <tr r="D25" s="1"/>
      </tp>
      <tp>
        <v>174350</v>
        <stp/>
        <stp>BOOK0</stp>
        <stp>OVD</stp>
        <stp>38</stp>
        <tr r="E41" s="1"/>
      </tp>
      <tp>
        <v>174355</v>
        <stp/>
        <stp>BOOK0</stp>
        <stp>OVD</stp>
        <stp>39</stp>
        <tr r="E42" s="1"/>
      </tp>
      <tp>
        <v>174340</v>
        <stp/>
        <stp>BOOK0</stp>
        <stp>OVD</stp>
        <stp>30</stp>
        <tr r="E33" s="1"/>
      </tp>
      <tp>
        <v>174340</v>
        <stp/>
        <stp>BOOK0</stp>
        <stp>OVD</stp>
        <stp>31</stp>
        <tr r="E34" s="1"/>
      </tp>
      <tp>
        <v>174345</v>
        <stp/>
        <stp>BOOK0</stp>
        <stp>OVD</stp>
        <stp>32</stp>
        <tr r="E35" s="1"/>
      </tp>
      <tp>
        <v>174345</v>
        <stp/>
        <stp>BOOK0</stp>
        <stp>OVD</stp>
        <stp>33</stp>
        <tr r="E36" s="1"/>
      </tp>
      <tp>
        <v>174345</v>
        <stp/>
        <stp>BOOK0</stp>
        <stp>OVD</stp>
        <stp>34</stp>
        <tr r="E37" s="1"/>
      </tp>
      <tp>
        <v>174350</v>
        <stp/>
        <stp>BOOK0</stp>
        <stp>OVD</stp>
        <stp>35</stp>
        <tr r="E38" s="1"/>
      </tp>
      <tp>
        <v>174350</v>
        <stp/>
        <stp>BOOK0</stp>
        <stp>OVD</stp>
        <stp>36</stp>
        <tr r="E39" s="1"/>
      </tp>
      <tp>
        <v>174350</v>
        <stp/>
        <stp>BOOK0</stp>
        <stp>OVD</stp>
        <stp>37</stp>
        <tr r="E40" s="1"/>
      </tp>
      <tp>
        <v>174155</v>
        <stp/>
        <stp>BOOK0</stp>
        <stp>OCP</stp>
        <stp>39</stp>
        <tr r="D42" s="1"/>
      </tp>
      <tp>
        <v>174155</v>
        <stp/>
        <stp>BOOK0</stp>
        <stp>OCP</stp>
        <stp>38</stp>
        <tr r="D41" s="1"/>
      </tp>
      <tp>
        <v>174165</v>
        <stp/>
        <stp>BOOK0</stp>
        <stp>OCP</stp>
        <stp>35</stp>
        <tr r="D38" s="1"/>
      </tp>
      <tp>
        <v>174165</v>
        <stp/>
        <stp>BOOK0</stp>
        <stp>OCP</stp>
        <stp>34</stp>
        <tr r="D37" s="1"/>
      </tp>
      <tp>
        <v>174155</v>
        <stp/>
        <stp>BOOK0</stp>
        <stp>OCP</stp>
        <stp>37</stp>
        <tr r="D40" s="1"/>
      </tp>
      <tp>
        <v>174160</v>
        <stp/>
        <stp>BOOK0</stp>
        <stp>OCP</stp>
        <stp>36</stp>
        <tr r="D39" s="1"/>
      </tp>
      <tp>
        <v>174175</v>
        <stp/>
        <stp>BOOK0</stp>
        <stp>OCP</stp>
        <stp>31</stp>
        <tr r="D34" s="1"/>
      </tp>
      <tp>
        <v>174180</v>
        <stp/>
        <stp>BOOK0</stp>
        <stp>OCP</stp>
        <stp>30</stp>
        <tr r="D33" s="1"/>
      </tp>
      <tp>
        <v>174170</v>
        <stp/>
        <stp>BOOK0</stp>
        <stp>OCP</stp>
        <stp>33</stp>
        <tr r="D36" s="1"/>
      </tp>
      <tp>
        <v>174175</v>
        <stp/>
        <stp>BOOK0</stp>
        <stp>OCP</stp>
        <stp>32</stp>
        <tr r="D35" s="1"/>
      </tp>
      <tp>
        <v>174365</v>
        <stp/>
        <stp>BOOK0</stp>
        <stp>OVD</stp>
        <stp>48</stp>
        <tr r="E51" s="1"/>
      </tp>
      <tp>
        <v>174370</v>
        <stp/>
        <stp>BOOK0</stp>
        <stp>OVD</stp>
        <stp>49</stp>
        <tr r="E52" s="1"/>
      </tp>
      <tp>
        <v>174355</v>
        <stp/>
        <stp>BOOK0</stp>
        <stp>OVD</stp>
        <stp>40</stp>
        <tr r="E43" s="1"/>
      </tp>
      <tp>
        <v>174355</v>
        <stp/>
        <stp>BOOK0</stp>
        <stp>OVD</stp>
        <stp>41</stp>
        <tr r="E44" s="1"/>
      </tp>
      <tp>
        <v>174360</v>
        <stp/>
        <stp>BOOK0</stp>
        <stp>OVD</stp>
        <stp>42</stp>
        <tr r="E45" s="1"/>
      </tp>
      <tp>
        <v>174360</v>
        <stp/>
        <stp>BOOK0</stp>
        <stp>OVD</stp>
        <stp>43</stp>
        <tr r="E46" s="1"/>
      </tp>
      <tp>
        <v>174360</v>
        <stp/>
        <stp>BOOK0</stp>
        <stp>OVD</stp>
        <stp>44</stp>
        <tr r="E47" s="1"/>
      </tp>
      <tp>
        <v>174365</v>
        <stp/>
        <stp>BOOK0</stp>
        <stp>OVD</stp>
        <stp>45</stp>
        <tr r="E48" s="1"/>
      </tp>
      <tp>
        <v>174365</v>
        <stp/>
        <stp>BOOK0</stp>
        <stp>OVD</stp>
        <stp>46</stp>
        <tr r="E49" s="1"/>
      </tp>
      <tp>
        <v>174365</v>
        <stp/>
        <stp>BOOK0</stp>
        <stp>OVD</stp>
        <stp>47</stp>
        <tr r="E50" s="1"/>
      </tp>
      <tp>
        <v>174135</v>
        <stp/>
        <stp>BOOK0</stp>
        <stp>OCP</stp>
        <stp>49</stp>
        <tr r="D52" s="1"/>
      </tp>
      <tp>
        <v>174135</v>
        <stp/>
        <stp>BOOK0</stp>
        <stp>OCP</stp>
        <stp>48</stp>
        <tr r="D51" s="1"/>
      </tp>
      <tp>
        <v>174140</v>
        <stp/>
        <stp>BOOK0</stp>
        <stp>OCP</stp>
        <stp>45</stp>
        <tr r="D48" s="1"/>
      </tp>
      <tp>
        <v>174145</v>
        <stp/>
        <stp>BOOK0</stp>
        <stp>OCP</stp>
        <stp>44</stp>
        <tr r="D47" s="1"/>
      </tp>
      <tp>
        <v>174140</v>
        <stp/>
        <stp>BOOK0</stp>
        <stp>OCP</stp>
        <stp>47</stp>
        <tr r="D50" s="1"/>
      </tp>
      <tp>
        <v>174140</v>
        <stp/>
        <stp>BOOK0</stp>
        <stp>OCP</stp>
        <stp>46</stp>
        <tr r="D49" s="1"/>
      </tp>
      <tp>
        <v>174150</v>
        <stp/>
        <stp>BOOK0</stp>
        <stp>OCP</stp>
        <stp>41</stp>
        <tr r="D44" s="1"/>
      </tp>
      <tp>
        <v>174150</v>
        <stp/>
        <stp>BOOK0</stp>
        <stp>OCP</stp>
        <stp>40</stp>
        <tr r="D43" s="1"/>
      </tp>
      <tp>
        <v>174150</v>
        <stp/>
        <stp>BOOK0</stp>
        <stp>OCP</stp>
        <stp>43</stp>
        <tr r="D46" s="1"/>
      </tp>
      <tp>
        <v>174150</v>
        <stp/>
        <stp>BOOK0</stp>
        <stp>OCP</stp>
        <stp>42</stp>
        <tr r="D45" s="1"/>
      </tp>
      <tp t="s">
        <v>Ofertas</v>
        <stp/>
        <stp>BOOK0</stp>
        <stp>INFO</stp>
        <stp>TAB</stp>
        <tr r="B1" s="1"/>
      </tp>
      <tp t="s">
        <v>09:54:06</v>
        <stp/>
        <stp>BOOK0</stp>
        <stp>HORC</stp>
        <stp>1</stp>
        <tr r="A4" s="1"/>
      </tp>
      <tp t="s">
        <v>09:54:06</v>
        <stp/>
        <stp>BOOK0</stp>
        <stp>HORC</stp>
        <stp>0</stp>
        <tr r="A3" s="1"/>
      </tp>
      <tp t="s">
        <v>09:54:05</v>
        <stp/>
        <stp>BOOK0</stp>
        <stp>HORC</stp>
        <stp>3</stp>
        <tr r="A6" s="1"/>
      </tp>
      <tp t="s">
        <v>09:54:05</v>
        <stp/>
        <stp>BOOK0</stp>
        <stp>HORC</stp>
        <stp>2</stp>
        <tr r="A5" s="1"/>
      </tp>
      <tp t="s">
        <v>09:54:05</v>
        <stp/>
        <stp>BOOK0</stp>
        <stp>HORC</stp>
        <stp>5</stp>
        <tr r="A8" s="1"/>
      </tp>
      <tp t="s">
        <v>09:54:19</v>
        <stp/>
        <stp>BOOK0</stp>
        <stp>HORC</stp>
        <stp>4</stp>
        <tr r="A7" s="1"/>
      </tp>
      <tp t="s">
        <v>09:54:05</v>
        <stp/>
        <stp>BOOK0</stp>
        <stp>HORC</stp>
        <stp>7</stp>
        <tr r="A10" s="1"/>
      </tp>
      <tp t="s">
        <v>09:54:05</v>
        <stp/>
        <stp>BOOK0</stp>
        <stp>HORC</stp>
        <stp>6</stp>
        <tr r="A9" s="1"/>
      </tp>
      <tp t="s">
        <v>09:54:08</v>
        <stp/>
        <stp>BOOK0</stp>
        <stp>HORC</stp>
        <stp>9</stp>
        <tr r="A12" s="1"/>
      </tp>
      <tp t="s">
        <v>09:54:05</v>
        <stp/>
        <stp>BOOK0</stp>
        <stp>HORC</stp>
        <stp>8</stp>
        <tr r="A11" s="1"/>
      </tp>
      <tp t="s">
        <v>09:47:29</v>
        <stp/>
        <stp>BOOK0</stp>
        <stp>HORC</stp>
        <stp>18</stp>
        <tr r="A21" s="1"/>
      </tp>
      <tp t="s">
        <v>09:52:05</v>
        <stp/>
        <stp>BOOK0</stp>
        <stp>HORV</stp>
        <stp>18</stp>
        <tr r="H21" s="1"/>
      </tp>
      <tp t="s">
        <v>09:52:21</v>
        <stp/>
        <stp>BOOK0</stp>
        <stp>HORC</stp>
        <stp>19</stp>
        <tr r="A22" s="1"/>
      </tp>
      <tp t="s">
        <v>09:52:07</v>
        <stp/>
        <stp>BOOK0</stp>
        <stp>HORV</stp>
        <stp>19</stp>
        <tr r="H22" s="1"/>
      </tp>
      <tp t="s">
        <v>09:54:13</v>
        <stp/>
        <stp>BOOK0</stp>
        <stp>HORC</stp>
        <stp>10</stp>
        <tr r="A13" s="1"/>
      </tp>
      <tp t="s">
        <v>09:53:32</v>
        <stp/>
        <stp>BOOK0</stp>
        <stp>HORV</stp>
        <stp>10</stp>
        <tr r="H13" s="1"/>
      </tp>
      <tp t="s">
        <v>09:54:17</v>
        <stp/>
        <stp>BOOK0</stp>
        <stp>HORC</stp>
        <stp>11</stp>
        <tr r="A14" s="1"/>
      </tp>
      <tp t="s">
        <v>09:54:03</v>
        <stp/>
        <stp>BOOK0</stp>
        <stp>HORV</stp>
        <stp>11</stp>
        <tr r="H14" s="1"/>
      </tp>
      <tp t="s">
        <v>09:54:05</v>
        <stp/>
        <stp>BOOK0</stp>
        <stp>HORC</stp>
        <stp>12</stp>
        <tr r="A15" s="1"/>
      </tp>
      <tp t="s">
        <v>09:54:36</v>
        <stp/>
        <stp>BOOK0</stp>
        <stp>HORV</stp>
        <stp>12</stp>
        <tr r="H15" s="1"/>
      </tp>
      <tp t="s">
        <v>09:54:08</v>
        <stp/>
        <stp>BOOK0</stp>
        <stp>HORC</stp>
        <stp>13</stp>
        <tr r="A16" s="1"/>
      </tp>
      <tp t="s">
        <v>09:53:10</v>
        <stp/>
        <stp>BOOK0</stp>
        <stp>HORV</stp>
        <stp>13</stp>
        <tr r="H16" s="1"/>
      </tp>
      <tp t="s">
        <v>09:54:07</v>
        <stp/>
        <stp>BOOK0</stp>
        <stp>HORC</stp>
        <stp>14</stp>
        <tr r="A17" s="1"/>
      </tp>
      <tp t="s">
        <v>09:54:03</v>
        <stp/>
        <stp>BOOK0</stp>
        <stp>HORV</stp>
        <stp>14</stp>
        <tr r="H17" s="1"/>
      </tp>
      <tp t="s">
        <v>09:54:25</v>
        <stp/>
        <stp>BOOK0</stp>
        <stp>HORC</stp>
        <stp>15</stp>
        <tr r="A18" s="1"/>
      </tp>
      <tp t="s">
        <v>09:52:06</v>
        <stp/>
        <stp>BOOK0</stp>
        <stp>HORV</stp>
        <stp>15</stp>
        <tr r="H18" s="1"/>
      </tp>
      <tp t="s">
        <v>09:00:25</v>
        <stp/>
        <stp>BOOK0</stp>
        <stp>HORC</stp>
        <stp>16</stp>
        <tr r="A19" s="1"/>
      </tp>
      <tp t="s">
        <v>09:52:07</v>
        <stp/>
        <stp>BOOK0</stp>
        <stp>HORV</stp>
        <stp>16</stp>
        <tr r="H19" s="1"/>
      </tp>
      <tp t="s">
        <v>09:35:41</v>
        <stp/>
        <stp>BOOK0</stp>
        <stp>HORC</stp>
        <stp>17</stp>
        <tr r="A20" s="1"/>
      </tp>
      <tp t="s">
        <v>09:52:07</v>
        <stp/>
        <stp>BOOK0</stp>
        <stp>HORV</stp>
        <stp>17</stp>
        <tr r="H20" s="1"/>
      </tp>
      <tp t="s">
        <v>09:52:24</v>
        <stp/>
        <stp>BOOK0</stp>
        <stp>HORC</stp>
        <stp>38</stp>
        <tr r="A41" s="1"/>
      </tp>
      <tp t="s">
        <v>09:52:07</v>
        <stp/>
        <stp>BOOK0</stp>
        <stp>HORV</stp>
        <stp>38</stp>
        <tr r="H41" s="1"/>
      </tp>
      <tp t="s">
        <v>09:53:24</v>
        <stp/>
        <stp>BOOK0</stp>
        <stp>HORC</stp>
        <stp>39</stp>
        <tr r="A42" s="1"/>
      </tp>
      <tp t="s">
        <v>09:52:00</v>
        <stp/>
        <stp>BOOK0</stp>
        <stp>HORV</stp>
        <stp>39</stp>
        <tr r="H42" s="1"/>
      </tp>
      <tp t="s">
        <v>09:46:09</v>
        <stp/>
        <stp>BOOK0</stp>
        <stp>HORC</stp>
        <stp>30</stp>
        <tr r="A33" s="1"/>
      </tp>
      <tp t="s">
        <v>09:52:06</v>
        <stp/>
        <stp>BOOK0</stp>
        <stp>HORV</stp>
        <stp>30</stp>
        <tr r="H33" s="1"/>
      </tp>
      <tp t="s">
        <v>09:46:10</v>
        <stp/>
        <stp>BOOK0</stp>
        <stp>HORC</stp>
        <stp>31</stp>
        <tr r="A34" s="1"/>
      </tp>
      <tp t="s">
        <v>09:53:10</v>
        <stp/>
        <stp>BOOK0</stp>
        <stp>HORV</stp>
        <stp>31</stp>
        <tr r="H34" s="1"/>
      </tp>
      <tp t="s">
        <v>09:52:08</v>
        <stp/>
        <stp>BOOK0</stp>
        <stp>HORC</stp>
        <stp>32</stp>
        <tr r="A35" s="1"/>
      </tp>
      <tp t="s">
        <v>09:52:00</v>
        <stp/>
        <stp>BOOK0</stp>
        <stp>HORV</stp>
        <stp>32</stp>
        <tr r="H35" s="1"/>
      </tp>
      <tp t="s">
        <v>09:47:14</v>
        <stp/>
        <stp>BOOK0</stp>
        <stp>HORC</stp>
        <stp>33</stp>
        <tr r="A36" s="1"/>
      </tp>
      <tp t="s">
        <v>09:52:06</v>
        <stp/>
        <stp>BOOK0</stp>
        <stp>HORV</stp>
        <stp>33</stp>
        <tr r="H36" s="1"/>
      </tp>
      <tp t="s">
        <v>09:47:14</v>
        <stp/>
        <stp>BOOK0</stp>
        <stp>HORC</stp>
        <stp>34</stp>
        <tr r="A37" s="1"/>
      </tp>
      <tp t="s">
        <v>09:52:06</v>
        <stp/>
        <stp>BOOK0</stp>
        <stp>HORV</stp>
        <stp>34</stp>
        <tr r="H37" s="1"/>
      </tp>
      <tp t="s">
        <v>09:52:30</v>
        <stp/>
        <stp>BOOK0</stp>
        <stp>HORC</stp>
        <stp>35</stp>
        <tr r="A38" s="1"/>
      </tp>
      <tp t="s">
        <v>09:52:00</v>
        <stp/>
        <stp>BOOK0</stp>
        <stp>HORV</stp>
        <stp>35</stp>
        <tr r="H38" s="1"/>
      </tp>
      <tp t="s">
        <v>09:47:14</v>
        <stp/>
        <stp>BOOK0</stp>
        <stp>HORC</stp>
        <stp>36</stp>
        <tr r="A39" s="1"/>
      </tp>
      <tp t="s">
        <v>09:52:06</v>
        <stp/>
        <stp>BOOK0</stp>
        <stp>HORV</stp>
        <stp>36</stp>
        <tr r="H39" s="1"/>
      </tp>
      <tp t="s">
        <v>09:47:15</v>
        <stp/>
        <stp>BOOK0</stp>
        <stp>HORC</stp>
        <stp>37</stp>
        <tr r="A40" s="1"/>
      </tp>
      <tp t="s">
        <v>09:52:06</v>
        <stp/>
        <stp>BOOK0</stp>
        <stp>HORV</stp>
        <stp>37</stp>
        <tr r="H40" s="1"/>
      </tp>
      <tp t="s">
        <v>09:54:05</v>
        <stp/>
        <stp>BOOK0</stp>
        <stp>HORC</stp>
        <stp>28</stp>
        <tr r="A31" s="1"/>
      </tp>
      <tp t="s">
        <v>09:52:03</v>
        <stp/>
        <stp>BOOK0</stp>
        <stp>HORV</stp>
        <stp>28</stp>
        <tr r="H31" s="1"/>
      </tp>
      <tp t="s">
        <v>09:25:47</v>
        <stp/>
        <stp>BOOK0</stp>
        <stp>HORC</stp>
        <stp>29</stp>
        <tr r="A32" s="1"/>
      </tp>
      <tp t="s">
        <v>09:52:06</v>
        <stp/>
        <stp>BOOK0</stp>
        <stp>HORV</stp>
        <stp>29</stp>
        <tr r="H32" s="1"/>
      </tp>
      <tp t="s">
        <v>09:53:11</v>
        <stp/>
        <stp>BOOK0</stp>
        <stp>HORC</stp>
        <stp>20</stp>
        <tr r="A23" s="1"/>
      </tp>
      <tp t="s">
        <v>09:52:07</v>
        <stp/>
        <stp>BOOK0</stp>
        <stp>HORV</stp>
        <stp>20</stp>
        <tr r="H23" s="1"/>
      </tp>
      <tp t="s">
        <v>09:54:06</v>
        <stp/>
        <stp>BOOK0</stp>
        <stp>HORC</stp>
        <stp>21</stp>
        <tr r="A24" s="1"/>
      </tp>
      <tp t="s">
        <v>09:52:05</v>
        <stp/>
        <stp>BOOK0</stp>
        <stp>HORV</stp>
        <stp>21</stp>
        <tr r="H24" s="1"/>
      </tp>
      <tp t="s">
        <v>09:47:38</v>
        <stp/>
        <stp>BOOK0</stp>
        <stp>HORC</stp>
        <stp>22</stp>
        <tr r="A25" s="1"/>
      </tp>
      <tp t="s">
        <v>09:52:07</v>
        <stp/>
        <stp>BOOK0</stp>
        <stp>HORV</stp>
        <stp>22</stp>
        <tr r="H25" s="1"/>
      </tp>
      <tp t="s">
        <v>09:54:06</v>
        <stp/>
        <stp>BOOK0</stp>
        <stp>HORC</stp>
        <stp>23</stp>
        <tr r="A26" s="1"/>
      </tp>
      <tp t="s">
        <v>09:52:07</v>
        <stp/>
        <stp>BOOK0</stp>
        <stp>HORV</stp>
        <stp>23</stp>
        <tr r="H26" s="1"/>
      </tp>
      <tp t="s">
        <v>09:53:01</v>
        <stp/>
        <stp>BOOK0</stp>
        <stp>HORC</stp>
        <stp>24</stp>
        <tr r="A27" s="1"/>
      </tp>
      <tp t="s">
        <v>09:54:36</v>
        <stp/>
        <stp>BOOK0</stp>
        <stp>HORV</stp>
        <stp>24</stp>
        <tr r="H27" s="1"/>
      </tp>
      <tp t="s">
        <v>09:54:05</v>
        <stp/>
        <stp>BOOK0</stp>
        <stp>HORC</stp>
        <stp>25</stp>
        <tr r="A28" s="1"/>
      </tp>
      <tp t="s">
        <v>09:52:05</v>
        <stp/>
        <stp>BOOK0</stp>
        <stp>HORV</stp>
        <stp>25</stp>
        <tr r="H28" s="1"/>
      </tp>
      <tp t="s">
        <v>09:54:06</v>
        <stp/>
        <stp>BOOK0</stp>
        <stp>HORC</stp>
        <stp>26</stp>
        <tr r="A29" s="1"/>
      </tp>
      <tp t="s">
        <v>09:52:06</v>
        <stp/>
        <stp>BOOK0</stp>
        <stp>HORV</stp>
        <stp>26</stp>
        <tr r="H29" s="1"/>
      </tp>
      <tp t="s">
        <v>09:52:28</v>
        <stp/>
        <stp>BOOK0</stp>
        <stp>HORC</stp>
        <stp>27</stp>
        <tr r="A30" s="1"/>
      </tp>
      <tp t="s">
        <v>09:52:07</v>
        <stp/>
        <stp>BOOK0</stp>
        <stp>HORV</stp>
        <stp>27</stp>
        <tr r="H30" s="1"/>
      </tp>
      <tp t="s">
        <v>09:47:15</v>
        <stp/>
        <stp>BOOK0</stp>
        <stp>HORC</stp>
        <stp>48</stp>
        <tr r="A51" s="1"/>
      </tp>
      <tp t="s">
        <v>09:53:03</v>
        <stp/>
        <stp>BOOK0</stp>
        <stp>HORV</stp>
        <stp>48</stp>
        <tr r="H51" s="1"/>
      </tp>
      <tp t="s">
        <v>09:53:17</v>
        <stp/>
        <stp>BOOK0</stp>
        <stp>HORC</stp>
        <stp>49</stp>
        <tr r="A52" s="1"/>
      </tp>
      <tp t="s">
        <v>09:51:49</v>
        <stp/>
        <stp>BOOK0</stp>
        <stp>HORV</stp>
        <stp>49</stp>
        <tr r="H52" s="1"/>
      </tp>
      <tp t="s">
        <v>09:35:47</v>
        <stp/>
        <stp>BOOK0</stp>
        <stp>HORC</stp>
        <stp>40</stp>
        <tr r="A43" s="1"/>
      </tp>
      <tp t="s">
        <v>09:52:04</v>
        <stp/>
        <stp>BOOK0</stp>
        <stp>HORV</stp>
        <stp>40</stp>
        <tr r="H43" s="1"/>
      </tp>
      <tp t="s">
        <v>09:47:15</v>
        <stp/>
        <stp>BOOK0</stp>
        <stp>HORC</stp>
        <stp>41</stp>
        <tr r="A44" s="1"/>
      </tp>
      <tp t="s">
        <v>09:52:06</v>
        <stp/>
        <stp>BOOK0</stp>
        <stp>HORV</stp>
        <stp>41</stp>
        <tr r="H44" s="1"/>
      </tp>
      <tp t="s">
        <v>09:52:13</v>
        <stp/>
        <stp>BOOK0</stp>
        <stp>HORC</stp>
        <stp>42</stp>
        <tr r="A45" s="1"/>
      </tp>
      <tp t="s">
        <v>09:52:00</v>
        <stp/>
        <stp>BOOK0</stp>
        <stp>HORV</stp>
        <stp>42</stp>
        <tr r="H45" s="1"/>
      </tp>
      <tp t="s">
        <v>09:53:02</v>
        <stp/>
        <stp>BOOK0</stp>
        <stp>HORC</stp>
        <stp>43</stp>
        <tr r="A46" s="1"/>
      </tp>
      <tp t="s">
        <v>09:52:03</v>
        <stp/>
        <stp>BOOK0</stp>
        <stp>HORV</stp>
        <stp>43</stp>
        <tr r="H46" s="1"/>
      </tp>
      <tp t="s">
        <v>09:47:15</v>
        <stp/>
        <stp>BOOK0</stp>
        <stp>HORC</stp>
        <stp>44</stp>
        <tr r="A47" s="1"/>
      </tp>
      <tp t="s">
        <v>09:52:04</v>
        <stp/>
        <stp>BOOK0</stp>
        <stp>HORV</stp>
        <stp>44</stp>
        <tr r="H47" s="1"/>
      </tp>
      <tp t="s">
        <v>09:47:15</v>
        <stp/>
        <stp>BOOK0</stp>
        <stp>HORC</stp>
        <stp>45</stp>
        <tr r="A48" s="1"/>
      </tp>
      <tp t="s">
        <v>09:51:58</v>
        <stp/>
        <stp>BOOK0</stp>
        <stp>HORV</stp>
        <stp>45</stp>
        <tr r="H48" s="1"/>
      </tp>
      <tp t="s">
        <v>09:52:34</v>
        <stp/>
        <stp>BOOK0</stp>
        <stp>HORC</stp>
        <stp>46</stp>
        <tr r="A49" s="1"/>
      </tp>
      <tp t="s">
        <v>09:52:03</v>
        <stp/>
        <stp>BOOK0</stp>
        <stp>HORV</stp>
        <stp>46</stp>
        <tr r="H49" s="1"/>
      </tp>
      <tp t="s">
        <v>09:52:51</v>
        <stp/>
        <stp>BOOK0</stp>
        <stp>HORC</stp>
        <stp>47</stp>
        <tr r="A50" s="1"/>
      </tp>
      <tp t="s">
        <v>09:52:04</v>
        <stp/>
        <stp>BOOK0</stp>
        <stp>HORV</stp>
        <stp>47</stp>
        <tr r="H50" s="1"/>
      </tp>
      <tp t="s">
        <v>09:54:33</v>
        <stp/>
        <stp>BOOK0</stp>
        <stp>HORV</stp>
        <stp>1</stp>
        <tr r="H4" s="1"/>
      </tp>
      <tp t="s">
        <v>09:54:36</v>
        <stp/>
        <stp>BOOK0</stp>
        <stp>HORV</stp>
        <stp>0</stp>
        <tr r="H3" s="1"/>
      </tp>
      <tp t="s">
        <v>09:54:25</v>
        <stp/>
        <stp>BOOK0</stp>
        <stp>HORV</stp>
        <stp>3</stp>
        <tr r="H6" s="1"/>
      </tp>
      <tp t="s">
        <v>09:54:30</v>
        <stp/>
        <stp>BOOK0</stp>
        <stp>HORV</stp>
        <stp>2</stp>
        <tr r="H5" s="1"/>
      </tp>
      <tp t="s">
        <v>09:54:25</v>
        <stp/>
        <stp>BOOK0</stp>
        <stp>HORV</stp>
        <stp>5</stp>
        <tr r="H8" s="1"/>
      </tp>
      <tp t="s">
        <v>09:54:25</v>
        <stp/>
        <stp>BOOK0</stp>
        <stp>HORV</stp>
        <stp>4</stp>
        <tr r="H7" s="1"/>
      </tp>
      <tp t="s">
        <v>09:53:56</v>
        <stp/>
        <stp>BOOK0</stp>
        <stp>HORV</stp>
        <stp>7</stp>
        <tr r="H10" s="1"/>
      </tp>
      <tp t="s">
        <v>09:54:25</v>
        <stp/>
        <stp>BOOK0</stp>
        <stp>HORV</stp>
        <stp>6</stp>
        <tr r="H9" s="1"/>
      </tp>
      <tp t="s">
        <v>09:54:36</v>
        <stp/>
        <stp>BOOK0</stp>
        <stp>HORV</stp>
        <stp>9</stp>
        <tr r="H12" s="1"/>
      </tp>
      <tp t="s">
        <v>09:53:50</v>
        <stp/>
        <stp>BOOK0</stp>
        <stp>HORV</stp>
        <stp>8</stp>
        <tr r="H1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BC1B-F0CE-4A49-983C-C47D3C991839}">
  <dimension ref="A1:H52"/>
  <sheetViews>
    <sheetView tabSelected="1" topLeftCell="A19" workbookViewId="0">
      <selection sqref="A1:H52"/>
    </sheetView>
  </sheetViews>
  <sheetFormatPr defaultRowHeight="15" x14ac:dyDescent="0.25"/>
  <sheetData>
    <row r="1" spans="1:8" x14ac:dyDescent="0.25">
      <c r="A1" s="1" t="str">
        <f>RTD("rtdtrading.rtdserver",, "BOOK0", "INFO", "ATV")</f>
        <v>WINV26</v>
      </c>
      <c r="B1" t="str">
        <f>RTD("rtdtrading.rtdserver",, "BOOK0", "INFO", "TAB")</f>
        <v>Ofertas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1</v>
      </c>
      <c r="H2" t="s">
        <v>0</v>
      </c>
    </row>
    <row r="3" spans="1:8" x14ac:dyDescent="0.25">
      <c r="A3" t="str">
        <f>RTD("rtdtrading.rtdserver",, "BOOK0", "HORC", 0)</f>
        <v>09:54:06</v>
      </c>
      <c r="B3" t="str">
        <f>RTD("rtdtrading.rtdserver",, "BOOK0", "ACP", 0)</f>
        <v>Genial</v>
      </c>
      <c r="C3">
        <f>RTD("rtdtrading.rtdserver",, "BOOK0", "VOC", 0)</f>
        <v>63</v>
      </c>
      <c r="D3">
        <f>RTD("rtdtrading.rtdserver",, "BOOK0", "OCP", 0)</f>
        <v>174250</v>
      </c>
      <c r="E3">
        <f>RTD("rtdtrading.rtdserver",, "BOOK0", "OVD", 0)</f>
        <v>174265</v>
      </c>
      <c r="F3">
        <f>RTD("rtdtrading.rtdserver",, "BOOK0", "VOV", 0)</f>
        <v>53</v>
      </c>
      <c r="G3" t="str">
        <f>RTD("rtdtrading.rtdserver",, "BOOK0", "AVD", 0)</f>
        <v>Genial</v>
      </c>
      <c r="H3" t="str">
        <f>RTD("rtdtrading.rtdserver",, "BOOK0", "HORV", 0)</f>
        <v>09:54:36</v>
      </c>
    </row>
    <row r="4" spans="1:8" x14ac:dyDescent="0.25">
      <c r="A4" t="str">
        <f>RTD("rtdtrading.rtdserver",, "BOOK0", "HORC", 1)</f>
        <v>09:54:06</v>
      </c>
      <c r="B4" t="str">
        <f>RTD("rtdtrading.rtdserver",, "BOOK0", "ACP", 1)</f>
        <v>Genial</v>
      </c>
      <c r="C4">
        <f>RTD("rtdtrading.rtdserver",, "BOOK0", "VOC", 1)</f>
        <v>57</v>
      </c>
      <c r="D4">
        <f>RTD("rtdtrading.rtdserver",, "BOOK0", "OCP", 1)</f>
        <v>174245</v>
      </c>
      <c r="E4">
        <f>RTD("rtdtrading.rtdserver",, "BOOK0", "OVD", 1)</f>
        <v>174270</v>
      </c>
      <c r="F4">
        <f>RTD("rtdtrading.rtdserver",, "BOOK0", "VOV", 1)</f>
        <v>59</v>
      </c>
      <c r="G4" t="str">
        <f>RTD("rtdtrading.rtdserver",, "BOOK0", "AVD", 1)</f>
        <v>Genial</v>
      </c>
      <c r="H4" t="str">
        <f>RTD("rtdtrading.rtdserver",, "BOOK0", "HORV", 1)</f>
        <v>09:54:33</v>
      </c>
    </row>
    <row r="5" spans="1:8" x14ac:dyDescent="0.25">
      <c r="A5" t="str">
        <f>RTD("rtdtrading.rtdserver",, "BOOK0", "HORC", 2)</f>
        <v>09:54:05</v>
      </c>
      <c r="B5" t="str">
        <f>RTD("rtdtrading.rtdserver",, "BOOK0", "ACP", 2)</f>
        <v>Genial</v>
      </c>
      <c r="C5">
        <f>RTD("rtdtrading.rtdserver",, "BOOK0", "VOC", 2)</f>
        <v>65</v>
      </c>
      <c r="D5">
        <f>RTD("rtdtrading.rtdserver",, "BOOK0", "OCP", 2)</f>
        <v>174240</v>
      </c>
      <c r="E5">
        <f>RTD("rtdtrading.rtdserver",, "BOOK0", "OVD", 2)</f>
        <v>174275</v>
      </c>
      <c r="F5">
        <f>RTD("rtdtrading.rtdserver",, "BOOK0", "VOV", 2)</f>
        <v>65</v>
      </c>
      <c r="G5" t="str">
        <f>RTD("rtdtrading.rtdserver",, "BOOK0", "AVD", 2)</f>
        <v>Genial</v>
      </c>
      <c r="H5" t="str">
        <f>RTD("rtdtrading.rtdserver",, "BOOK0", "HORV", 2)</f>
        <v>09:54:30</v>
      </c>
    </row>
    <row r="6" spans="1:8" x14ac:dyDescent="0.25">
      <c r="A6" t="str">
        <f>RTD("rtdtrading.rtdserver",, "BOOK0", "HORC", 3)</f>
        <v>09:54:05</v>
      </c>
      <c r="B6" t="str">
        <f>RTD("rtdtrading.rtdserver",, "BOOK0", "ACP", 3)</f>
        <v>Genial</v>
      </c>
      <c r="C6">
        <f>RTD("rtdtrading.rtdserver",, "BOOK0", "VOC", 3)</f>
        <v>59</v>
      </c>
      <c r="D6">
        <f>RTD("rtdtrading.rtdserver",, "BOOK0", "OCP", 3)</f>
        <v>174235</v>
      </c>
      <c r="E6">
        <f>RTD("rtdtrading.rtdserver",, "BOOK0", "OVD", 3)</f>
        <v>174280</v>
      </c>
      <c r="F6">
        <f>RTD("rtdtrading.rtdserver",, "BOOK0", "VOV", 3)</f>
        <v>57</v>
      </c>
      <c r="G6" t="str">
        <f>RTD("rtdtrading.rtdserver",, "BOOK0", "AVD", 3)</f>
        <v>Genial</v>
      </c>
      <c r="H6" t="str">
        <f>RTD("rtdtrading.rtdserver",, "BOOK0", "HORV", 3)</f>
        <v>09:54:25</v>
      </c>
    </row>
    <row r="7" spans="1:8" x14ac:dyDescent="0.25">
      <c r="A7" t="str">
        <f>RTD("rtdtrading.rtdserver",, "BOOK0", "HORC", 4)</f>
        <v>09:54:19</v>
      </c>
      <c r="B7" t="str">
        <f>RTD("rtdtrading.rtdserver",, "BOOK0", "ACP", 4)</f>
        <v>BTG</v>
      </c>
      <c r="C7">
        <f>RTD("rtdtrading.rtdserver",, "BOOK0", "VOC", 4)</f>
        <v>50</v>
      </c>
      <c r="D7">
        <f>RTD("rtdtrading.rtdserver",, "BOOK0", "OCP", 4)</f>
        <v>174235</v>
      </c>
      <c r="E7">
        <f>RTD("rtdtrading.rtdserver",, "BOOK0", "OVD", 4)</f>
        <v>174285</v>
      </c>
      <c r="F7">
        <f>RTD("rtdtrading.rtdserver",, "BOOK0", "VOV", 4)</f>
        <v>63</v>
      </c>
      <c r="G7" t="str">
        <f>RTD("rtdtrading.rtdserver",, "BOOK0", "AVD", 4)</f>
        <v>Genial</v>
      </c>
      <c r="H7" t="str">
        <f>RTD("rtdtrading.rtdserver",, "BOOK0", "HORV", 4)</f>
        <v>09:54:25</v>
      </c>
    </row>
    <row r="8" spans="1:8" x14ac:dyDescent="0.25">
      <c r="A8" t="str">
        <f>RTD("rtdtrading.rtdserver",, "BOOK0", "HORC", 5)</f>
        <v>09:54:05</v>
      </c>
      <c r="B8" t="str">
        <f>RTD("rtdtrading.rtdserver",, "BOOK0", "ACP", 5)</f>
        <v>Genial</v>
      </c>
      <c r="C8">
        <f>RTD("rtdtrading.rtdserver",, "BOOK0", "VOC", 5)</f>
        <v>53</v>
      </c>
      <c r="D8">
        <f>RTD("rtdtrading.rtdserver",, "BOOK0", "OCP", 5)</f>
        <v>174230</v>
      </c>
      <c r="E8">
        <f>RTD("rtdtrading.rtdserver",, "BOOK0", "OVD", 5)</f>
        <v>174290</v>
      </c>
      <c r="F8">
        <f>RTD("rtdtrading.rtdserver",, "BOOK0", "VOV", 5)</f>
        <v>55</v>
      </c>
      <c r="G8" t="str">
        <f>RTD("rtdtrading.rtdserver",, "BOOK0", "AVD", 5)</f>
        <v>Genial</v>
      </c>
      <c r="H8" s="2" t="str">
        <f>RTD("rtdtrading.rtdserver",, "BOOK0", "HORV", 5)</f>
        <v>09:54:25</v>
      </c>
    </row>
    <row r="9" spans="1:8" x14ac:dyDescent="0.25">
      <c r="A9" t="str">
        <f>RTD("rtdtrading.rtdserver",, "BOOK0", "HORC", 6)</f>
        <v>09:54:05</v>
      </c>
      <c r="B9" t="str">
        <f>RTD("rtdtrading.rtdserver",, "BOOK0", "ACP", 6)</f>
        <v>Genial</v>
      </c>
      <c r="C9">
        <f>RTD("rtdtrading.rtdserver",, "BOOK0", "VOC", 6)</f>
        <v>61</v>
      </c>
      <c r="D9">
        <f>RTD("rtdtrading.rtdserver",, "BOOK0", "OCP", 6)</f>
        <v>174225</v>
      </c>
      <c r="E9">
        <f>RTD("rtdtrading.rtdserver",, "BOOK0", "OVD", 6)</f>
        <v>174295</v>
      </c>
      <c r="F9">
        <f>RTD("rtdtrading.rtdserver",, "BOOK0", "VOV", 6)</f>
        <v>61</v>
      </c>
      <c r="G9" t="str">
        <f>RTD("rtdtrading.rtdserver",, "BOOK0", "AVD", 6)</f>
        <v>Genial</v>
      </c>
      <c r="H9" t="str">
        <f>RTD("rtdtrading.rtdserver",, "BOOK0", "HORV", 6)</f>
        <v>09:54:25</v>
      </c>
    </row>
    <row r="10" spans="1:8" x14ac:dyDescent="0.25">
      <c r="A10" t="str">
        <f>RTD("rtdtrading.rtdserver",, "BOOK0", "HORC", 7)</f>
        <v>09:54:05</v>
      </c>
      <c r="B10" t="str">
        <f>RTD("rtdtrading.rtdserver",, "BOOK0", "ACP", 7)</f>
        <v>Genial</v>
      </c>
      <c r="C10">
        <f>RTD("rtdtrading.rtdserver",, "BOOK0", "VOC", 7)</f>
        <v>55</v>
      </c>
      <c r="D10">
        <f>RTD("rtdtrading.rtdserver",, "BOOK0", "OCP", 7)</f>
        <v>174220</v>
      </c>
      <c r="E10">
        <f>RTD("rtdtrading.rtdserver",, "BOOK0", "OVD", 7)</f>
        <v>174300</v>
      </c>
      <c r="F10">
        <f>RTD("rtdtrading.rtdserver",, "BOOK0", "VOV", 7)</f>
        <v>53</v>
      </c>
      <c r="G10" t="str">
        <f>RTD("rtdtrading.rtdserver",, "BOOK0", "AVD", 7)</f>
        <v>Genial</v>
      </c>
      <c r="H10" t="str">
        <f>RTD("rtdtrading.rtdserver",, "BOOK0", "HORV", 7)</f>
        <v>09:53:56</v>
      </c>
    </row>
    <row r="11" spans="1:8" x14ac:dyDescent="0.25">
      <c r="A11" t="str">
        <f>RTD("rtdtrading.rtdserver",, "BOOK0", "HORC", 8)</f>
        <v>09:54:05</v>
      </c>
      <c r="B11" t="str">
        <f>RTD("rtdtrading.rtdserver",, "BOOK0", "ACP", 8)</f>
        <v>Genial</v>
      </c>
      <c r="C11">
        <f>RTD("rtdtrading.rtdserver",, "BOOK0", "VOC", 8)</f>
        <v>63</v>
      </c>
      <c r="D11">
        <f>RTD("rtdtrading.rtdserver",, "BOOK0", "OCP", 8)</f>
        <v>174215</v>
      </c>
      <c r="E11">
        <f>RTD("rtdtrading.rtdserver",, "BOOK0", "OVD", 8)</f>
        <v>174305</v>
      </c>
      <c r="F11">
        <f>RTD("rtdtrading.rtdserver",, "BOOK0", "VOV", 8)</f>
        <v>59</v>
      </c>
      <c r="G11" t="str">
        <f>RTD("rtdtrading.rtdserver",, "BOOK0", "AVD", 8)</f>
        <v>Genial</v>
      </c>
      <c r="H11" t="str">
        <f>RTD("rtdtrading.rtdserver",, "BOOK0", "HORV", 8)</f>
        <v>09:53:50</v>
      </c>
    </row>
    <row r="12" spans="1:8" x14ac:dyDescent="0.25">
      <c r="A12" t="str">
        <f>RTD("rtdtrading.rtdserver",, "BOOK0", "HORC", 9)</f>
        <v>09:54:08</v>
      </c>
      <c r="B12" t="str">
        <f>RTD("rtdtrading.rtdserver",, "BOOK0", "ACP", 9)</f>
        <v>BTG</v>
      </c>
      <c r="C12">
        <f>RTD("rtdtrading.rtdserver",, "BOOK0", "VOC", 9)</f>
        <v>117</v>
      </c>
      <c r="D12">
        <f>RTD("rtdtrading.rtdserver",, "BOOK0", "OCP", 9)</f>
        <v>174215</v>
      </c>
      <c r="E12">
        <f>RTD("rtdtrading.rtdserver",, "BOOK0", "OVD", 9)</f>
        <v>174305</v>
      </c>
      <c r="F12">
        <f>RTD("rtdtrading.rtdserver",, "BOOK0", "VOV", 9)</f>
        <v>102</v>
      </c>
      <c r="G12" t="str">
        <f>RTD("rtdtrading.rtdserver",, "BOOK0", "AVD", 9)</f>
        <v>BTG</v>
      </c>
      <c r="H12" t="str">
        <f>RTD("rtdtrading.rtdserver",, "BOOK0", "HORV", 9)</f>
        <v>09:54:36</v>
      </c>
    </row>
    <row r="13" spans="1:8" x14ac:dyDescent="0.25">
      <c r="A13" t="str">
        <f>RTD("rtdtrading.rtdserver",, "BOOK0", "HORC", 10)</f>
        <v>09:54:13</v>
      </c>
      <c r="B13" t="str">
        <f>RTD("rtdtrading.rtdserver",, "BOOK0", "ACP", 10)</f>
        <v>Genial</v>
      </c>
      <c r="C13">
        <f>RTD("rtdtrading.rtdserver",, "BOOK0", "VOC", 10)</f>
        <v>150</v>
      </c>
      <c r="D13">
        <f>RTD("rtdtrading.rtdserver",, "BOOK0", "OCP", 10)</f>
        <v>174215</v>
      </c>
      <c r="E13">
        <f>RTD("rtdtrading.rtdserver",, "BOOK0", "OVD", 10)</f>
        <v>174310</v>
      </c>
      <c r="F13">
        <f>RTD("rtdtrading.rtdserver",, "BOOK0", "VOV", 10)</f>
        <v>65</v>
      </c>
      <c r="G13" t="str">
        <f>RTD("rtdtrading.rtdserver",, "BOOK0", "AVD", 10)</f>
        <v>Genial</v>
      </c>
      <c r="H13" t="str">
        <f>RTD("rtdtrading.rtdserver",, "BOOK0", "HORV", 10)</f>
        <v>09:53:32</v>
      </c>
    </row>
    <row r="14" spans="1:8" x14ac:dyDescent="0.25">
      <c r="A14" t="str">
        <f>RTD("rtdtrading.rtdserver",, "BOOK0", "HORC", 11)</f>
        <v>09:54:17</v>
      </c>
      <c r="B14" t="str">
        <f>RTD("rtdtrading.rtdserver",, "BOOK0", "ACP", 11)</f>
        <v>Genial</v>
      </c>
      <c r="C14">
        <f>RTD("rtdtrading.rtdserver",, "BOOK0", "VOC", 11)</f>
        <v>50</v>
      </c>
      <c r="D14">
        <f>RTD("rtdtrading.rtdserver",, "BOOK0", "OCP", 11)</f>
        <v>174215</v>
      </c>
      <c r="E14">
        <f>RTD("rtdtrading.rtdserver",, "BOOK0", "OVD", 11)</f>
        <v>174310</v>
      </c>
      <c r="F14">
        <f>RTD("rtdtrading.rtdserver",, "BOOK0", "VOV", 11)</f>
        <v>109</v>
      </c>
      <c r="G14" t="str">
        <f>RTD("rtdtrading.rtdserver",, "BOOK0", "AVD", 11)</f>
        <v>BTG</v>
      </c>
      <c r="H14" t="str">
        <f>RTD("rtdtrading.rtdserver",, "BOOK0", "HORV", 11)</f>
        <v>09:54:03</v>
      </c>
    </row>
    <row r="15" spans="1:8" x14ac:dyDescent="0.25">
      <c r="A15" t="str">
        <f>RTD("rtdtrading.rtdserver",, "BOOK0", "HORC", 12)</f>
        <v>09:54:05</v>
      </c>
      <c r="B15" t="str">
        <f>RTD("rtdtrading.rtdserver",, "BOOK0", "ACP", 12)</f>
        <v>Genial</v>
      </c>
      <c r="C15">
        <f>RTD("rtdtrading.rtdserver",, "BOOK0", "VOC", 12)</f>
        <v>57</v>
      </c>
      <c r="D15">
        <f>RTD("rtdtrading.rtdserver",, "BOOK0", "OCP", 12)</f>
        <v>174210</v>
      </c>
      <c r="E15">
        <f>RTD("rtdtrading.rtdserver",, "BOOK0", "OVD", 12)</f>
        <v>174310</v>
      </c>
      <c r="F15">
        <f>RTD("rtdtrading.rtdserver",, "BOOK0", "VOV", 12)</f>
        <v>51</v>
      </c>
      <c r="G15" t="str">
        <f>RTD("rtdtrading.rtdserver",, "BOOK0", "AVD", 12)</f>
        <v>BTG</v>
      </c>
      <c r="H15" t="str">
        <f>RTD("rtdtrading.rtdserver",, "BOOK0", "HORV", 12)</f>
        <v>09:54:36</v>
      </c>
    </row>
    <row r="16" spans="1:8" x14ac:dyDescent="0.25">
      <c r="A16" t="str">
        <f>RTD("rtdtrading.rtdserver",, "BOOK0", "HORC", 13)</f>
        <v>09:54:08</v>
      </c>
      <c r="B16" t="str">
        <f>RTD("rtdtrading.rtdserver",, "BOOK0", "ACP", 13)</f>
        <v>BTG</v>
      </c>
      <c r="C16">
        <f>RTD("rtdtrading.rtdserver",, "BOOK0", "VOC", 13)</f>
        <v>160</v>
      </c>
      <c r="D16">
        <f>RTD("rtdtrading.rtdserver",, "BOOK0", "OCP", 13)</f>
        <v>174210</v>
      </c>
      <c r="E16">
        <f>RTD("rtdtrading.rtdserver",, "BOOK0", "OVD", 13)</f>
        <v>174315</v>
      </c>
      <c r="F16">
        <f>RTD("rtdtrading.rtdserver",, "BOOK0", "VOV", 13)</f>
        <v>64</v>
      </c>
      <c r="G16" t="str">
        <f>RTD("rtdtrading.rtdserver",, "BOOK0", "AVD", 13)</f>
        <v>Genial</v>
      </c>
      <c r="H16" t="str">
        <f>RTD("rtdtrading.rtdserver",, "BOOK0", "HORV", 13)</f>
        <v>09:53:10</v>
      </c>
    </row>
    <row r="17" spans="1:8" x14ac:dyDescent="0.25">
      <c r="A17" t="str">
        <f>RTD("rtdtrading.rtdserver",, "BOOK0", "HORC", 14)</f>
        <v>09:54:07</v>
      </c>
      <c r="B17" t="str">
        <f>RTD("rtdtrading.rtdserver",, "BOOK0", "ACP", 14)</f>
        <v>BTG</v>
      </c>
      <c r="C17">
        <f>RTD("rtdtrading.rtdserver",, "BOOK0", "VOC", 14)</f>
        <v>160</v>
      </c>
      <c r="D17">
        <f>RTD("rtdtrading.rtdserver",, "BOOK0", "OCP", 14)</f>
        <v>174205</v>
      </c>
      <c r="E17">
        <f>RTD("rtdtrading.rtdserver",, "BOOK0", "OVD", 14)</f>
        <v>174315</v>
      </c>
      <c r="F17">
        <f>RTD("rtdtrading.rtdserver",, "BOOK0", "VOV", 14)</f>
        <v>122</v>
      </c>
      <c r="G17" t="str">
        <f>RTD("rtdtrading.rtdserver",, "BOOK0", "AVD", 14)</f>
        <v>BTG</v>
      </c>
      <c r="H17" t="str">
        <f>RTD("rtdtrading.rtdserver",, "BOOK0", "HORV", 14)</f>
        <v>09:54:03</v>
      </c>
    </row>
    <row r="18" spans="1:8" x14ac:dyDescent="0.25">
      <c r="A18" t="str">
        <f>RTD("rtdtrading.rtdserver",, "BOOK0", "HORC", 15)</f>
        <v>09:54:25</v>
      </c>
      <c r="B18" t="str">
        <f>RTD("rtdtrading.rtdserver",, "BOOK0", "ACP", 15)</f>
        <v>XP</v>
      </c>
      <c r="C18">
        <f>RTD("rtdtrading.rtdserver",, "BOOK0", "VOC", 15)</f>
        <v>60</v>
      </c>
      <c r="D18">
        <f>RTD("rtdtrading.rtdserver",, "BOOK0", "OCP", 15)</f>
        <v>174205</v>
      </c>
      <c r="E18">
        <f>RTD("rtdtrading.rtdserver",, "BOOK0", "OVD", 15)</f>
        <v>174320</v>
      </c>
      <c r="F18">
        <f>RTD("rtdtrading.rtdserver",, "BOOK0", "VOV", 15)</f>
        <v>63</v>
      </c>
      <c r="G18" t="str">
        <f>RTD("rtdtrading.rtdserver",, "BOOK0", "AVD", 15)</f>
        <v>Genial</v>
      </c>
      <c r="H18" t="str">
        <f>RTD("rtdtrading.rtdserver",, "BOOK0", "HORV", 15)</f>
        <v>09:52:06</v>
      </c>
    </row>
    <row r="19" spans="1:8" x14ac:dyDescent="0.25">
      <c r="A19" t="str">
        <f>RTD("rtdtrading.rtdserver",, "BOOK0", "HORC", 16)</f>
        <v>09:00:25</v>
      </c>
      <c r="B19" t="str">
        <f>RTD("rtdtrading.rtdserver",, "BOOK0", "ACP", 16)</f>
        <v>XP</v>
      </c>
      <c r="C19">
        <f>RTD("rtdtrading.rtdserver",, "BOOK0", "VOC", 16)</f>
        <v>50</v>
      </c>
      <c r="D19">
        <f>RTD("rtdtrading.rtdserver",, "BOOK0", "OCP", 16)</f>
        <v>174200</v>
      </c>
      <c r="E19">
        <f>RTD("rtdtrading.rtdserver",, "BOOK0", "OVD", 16)</f>
        <v>174320</v>
      </c>
      <c r="F19">
        <f>RTD("rtdtrading.rtdserver",, "BOOK0", "VOV", 16)</f>
        <v>101</v>
      </c>
      <c r="G19" t="str">
        <f>RTD("rtdtrading.rtdserver",, "BOOK0", "AVD", 16)</f>
        <v>BTG</v>
      </c>
      <c r="H19" t="str">
        <f>RTD("rtdtrading.rtdserver",, "BOOK0", "HORV", 16)</f>
        <v>09:52:07</v>
      </c>
    </row>
    <row r="20" spans="1:8" x14ac:dyDescent="0.25">
      <c r="A20" t="str">
        <f>RTD("rtdtrading.rtdserver",, "BOOK0", "HORC", 17)</f>
        <v>09:35:41</v>
      </c>
      <c r="B20" t="str">
        <f>RTD("rtdtrading.rtdserver",, "BOOK0", "ACP", 17)</f>
        <v>Necton</v>
      </c>
      <c r="C20">
        <f>RTD("rtdtrading.rtdserver",, "BOOK0", "VOC", 17)</f>
        <v>50</v>
      </c>
      <c r="D20">
        <f>RTD("rtdtrading.rtdserver",, "BOOK0", "OCP", 17)</f>
        <v>174200</v>
      </c>
      <c r="E20">
        <f>RTD("rtdtrading.rtdserver",, "BOOK0", "OVD", 17)</f>
        <v>174320</v>
      </c>
      <c r="F20">
        <f>RTD("rtdtrading.rtdserver",, "BOOK0", "VOV", 17)</f>
        <v>56</v>
      </c>
      <c r="G20" t="str">
        <f>RTD("rtdtrading.rtdserver",, "BOOK0", "AVD", 17)</f>
        <v>BTG</v>
      </c>
      <c r="H20" t="str">
        <f>RTD("rtdtrading.rtdserver",, "BOOK0", "HORV", 17)</f>
        <v>09:52:07</v>
      </c>
    </row>
    <row r="21" spans="1:8" x14ac:dyDescent="0.25">
      <c r="A21" t="str">
        <f>RTD("rtdtrading.rtdserver",, "BOOK0", "HORC", 18)</f>
        <v>09:47:29</v>
      </c>
      <c r="B21" t="str">
        <f>RTD("rtdtrading.rtdserver",, "BOOK0", "ACP", 18)</f>
        <v>XP</v>
      </c>
      <c r="C21">
        <f>RTD("rtdtrading.rtdserver",, "BOOK0", "VOC", 18)</f>
        <v>500</v>
      </c>
      <c r="D21">
        <f>RTD("rtdtrading.rtdserver",, "BOOK0", "OCP", 18)</f>
        <v>174200</v>
      </c>
      <c r="E21">
        <f>RTD("rtdtrading.rtdserver",, "BOOK0", "OVD", 18)</f>
        <v>174325</v>
      </c>
      <c r="F21">
        <f>RTD("rtdtrading.rtdserver",, "BOOK0", "VOV", 18)</f>
        <v>55</v>
      </c>
      <c r="G21" t="str">
        <f>RTD("rtdtrading.rtdserver",, "BOOK0", "AVD", 18)</f>
        <v>Genial</v>
      </c>
      <c r="H21" t="str">
        <f>RTD("rtdtrading.rtdserver",, "BOOK0", "HORV", 18)</f>
        <v>09:52:05</v>
      </c>
    </row>
    <row r="22" spans="1:8" x14ac:dyDescent="0.25">
      <c r="A22" t="str">
        <f>RTD("rtdtrading.rtdserver",, "BOOK0", "HORC", 19)</f>
        <v>09:52:21</v>
      </c>
      <c r="B22" t="str">
        <f>RTD("rtdtrading.rtdserver",, "BOOK0", "ACP", 19)</f>
        <v>XP</v>
      </c>
      <c r="C22">
        <f>RTD("rtdtrading.rtdserver",, "BOOK0", "VOC", 19)</f>
        <v>50</v>
      </c>
      <c r="D22">
        <f>RTD("rtdtrading.rtdserver",, "BOOK0", "OCP", 19)</f>
        <v>174200</v>
      </c>
      <c r="E22">
        <f>RTD("rtdtrading.rtdserver",, "BOOK0", "OVD", 19)</f>
        <v>174325</v>
      </c>
      <c r="F22">
        <f>RTD("rtdtrading.rtdserver",, "BOOK0", "VOV", 19)</f>
        <v>108</v>
      </c>
      <c r="G22" t="str">
        <f>RTD("rtdtrading.rtdserver",, "BOOK0", "AVD", 19)</f>
        <v>BTG</v>
      </c>
      <c r="H22" t="str">
        <f>RTD("rtdtrading.rtdserver",, "BOOK0", "HORV", 19)</f>
        <v>09:52:07</v>
      </c>
    </row>
    <row r="23" spans="1:8" x14ac:dyDescent="0.25">
      <c r="A23" t="str">
        <f>RTD("rtdtrading.rtdserver",, "BOOK0", "HORC", 20)</f>
        <v>09:53:11</v>
      </c>
      <c r="B23" t="str">
        <f>RTD("rtdtrading.rtdserver",, "BOOK0", "ACP", 20)</f>
        <v>XP</v>
      </c>
      <c r="C23">
        <f>RTD("rtdtrading.rtdserver",, "BOOK0", "VOC", 20)</f>
        <v>50</v>
      </c>
      <c r="D23">
        <f>RTD("rtdtrading.rtdserver",, "BOOK0", "OCP", 20)</f>
        <v>174200</v>
      </c>
      <c r="E23">
        <f>RTD("rtdtrading.rtdserver",, "BOOK0", "OVD", 20)</f>
        <v>174325</v>
      </c>
      <c r="F23">
        <f>RTD("rtdtrading.rtdserver",, "BOOK0", "VOV", 20)</f>
        <v>50</v>
      </c>
      <c r="G23" t="str">
        <f>RTD("rtdtrading.rtdserver",, "BOOK0", "AVD", 20)</f>
        <v>BTG</v>
      </c>
      <c r="H23" t="str">
        <f>RTD("rtdtrading.rtdserver",, "BOOK0", "HORV", 20)</f>
        <v>09:52:07</v>
      </c>
    </row>
    <row r="24" spans="1:8" x14ac:dyDescent="0.25">
      <c r="A24" t="str">
        <f>RTD("rtdtrading.rtdserver",, "BOOK0", "HORC", 21)</f>
        <v>09:54:06</v>
      </c>
      <c r="B24" t="str">
        <f>RTD("rtdtrading.rtdserver",, "BOOK0", "ACP", 21)</f>
        <v>BTG</v>
      </c>
      <c r="C24">
        <f>RTD("rtdtrading.rtdserver",, "BOOK0", "VOC", 21)</f>
        <v>160</v>
      </c>
      <c r="D24">
        <f>RTD("rtdtrading.rtdserver",, "BOOK0", "OCP", 21)</f>
        <v>174200</v>
      </c>
      <c r="E24">
        <f>RTD("rtdtrading.rtdserver",, "BOOK0", "OVD", 21)</f>
        <v>174330</v>
      </c>
      <c r="F24">
        <f>RTD("rtdtrading.rtdserver",, "BOOK0", "VOV", 21)</f>
        <v>61</v>
      </c>
      <c r="G24" t="str">
        <f>RTD("rtdtrading.rtdserver",, "BOOK0", "AVD", 21)</f>
        <v>Genial</v>
      </c>
      <c r="H24" t="str">
        <f>RTD("rtdtrading.rtdserver",, "BOOK0", "HORV", 21)</f>
        <v>09:52:05</v>
      </c>
    </row>
    <row r="25" spans="1:8" x14ac:dyDescent="0.25">
      <c r="A25" t="str">
        <f>RTD("rtdtrading.rtdserver",, "BOOK0", "HORC", 22)</f>
        <v>09:47:38</v>
      </c>
      <c r="B25" t="str">
        <f>RTD("rtdtrading.rtdserver",, "BOOK0", "ACP", 22)</f>
        <v>XP</v>
      </c>
      <c r="C25">
        <f>RTD("rtdtrading.rtdserver",, "BOOK0", "VOC", 22)</f>
        <v>51</v>
      </c>
      <c r="D25">
        <f>RTD("rtdtrading.rtdserver",, "BOOK0", "OCP", 22)</f>
        <v>174195</v>
      </c>
      <c r="E25">
        <f>RTD("rtdtrading.rtdserver",, "BOOK0", "OVD", 22)</f>
        <v>174330</v>
      </c>
      <c r="F25">
        <f>RTD("rtdtrading.rtdserver",, "BOOK0", "VOV", 22)</f>
        <v>106</v>
      </c>
      <c r="G25" t="str">
        <f>RTD("rtdtrading.rtdserver",, "BOOK0", "AVD", 22)</f>
        <v>BTG</v>
      </c>
      <c r="H25" t="str">
        <f>RTD("rtdtrading.rtdserver",, "BOOK0", "HORV", 22)</f>
        <v>09:52:07</v>
      </c>
    </row>
    <row r="26" spans="1:8" x14ac:dyDescent="0.25">
      <c r="A26" t="str">
        <f>RTD("rtdtrading.rtdserver",, "BOOK0", "HORC", 23)</f>
        <v>09:54:06</v>
      </c>
      <c r="B26" t="str">
        <f>RTD("rtdtrading.rtdserver",, "BOOK0", "ACP", 23)</f>
        <v>BTG</v>
      </c>
      <c r="C26">
        <f>RTD("rtdtrading.rtdserver",, "BOOK0", "VOC", 23)</f>
        <v>160</v>
      </c>
      <c r="D26">
        <f>RTD("rtdtrading.rtdserver",, "BOOK0", "OCP", 23)</f>
        <v>174195</v>
      </c>
      <c r="E26">
        <f>RTD("rtdtrading.rtdserver",, "BOOK0", "OVD", 23)</f>
        <v>174330</v>
      </c>
      <c r="F26">
        <f>RTD("rtdtrading.rtdserver",, "BOOK0", "VOV", 23)</f>
        <v>51</v>
      </c>
      <c r="G26" t="str">
        <f>RTD("rtdtrading.rtdserver",, "BOOK0", "AVD", 23)</f>
        <v>BTG</v>
      </c>
      <c r="H26" t="str">
        <f>RTD("rtdtrading.rtdserver",, "BOOK0", "HORV", 23)</f>
        <v>09:52:07</v>
      </c>
    </row>
    <row r="27" spans="1:8" x14ac:dyDescent="0.25">
      <c r="A27" t="str">
        <f>RTD("rtdtrading.rtdserver",, "BOOK0", "HORC", 24)</f>
        <v>09:53:01</v>
      </c>
      <c r="B27" t="str">
        <f>RTD("rtdtrading.rtdserver",, "BOOK0", "ACP", 24)</f>
        <v>Itau</v>
      </c>
      <c r="C27">
        <f>RTD("rtdtrading.rtdserver",, "BOOK0", "VOC", 24)</f>
        <v>100</v>
      </c>
      <c r="D27">
        <f>RTD("rtdtrading.rtdserver",, "BOOK0", "OCP", 24)</f>
        <v>174190</v>
      </c>
      <c r="E27">
        <f>RTD("rtdtrading.rtdserver",, "BOOK0", "OVD", 24)</f>
        <v>174330</v>
      </c>
      <c r="F27">
        <f>RTD("rtdtrading.rtdserver",, "BOOK0", "VOV", 24)</f>
        <v>100</v>
      </c>
      <c r="G27" t="str">
        <f>RTD("rtdtrading.rtdserver",, "BOOK0", "AVD", 24)</f>
        <v>Agora</v>
      </c>
      <c r="H27" t="str">
        <f>RTD("rtdtrading.rtdserver",, "BOOK0", "HORV", 24)</f>
        <v>09:54:36</v>
      </c>
    </row>
    <row r="28" spans="1:8" x14ac:dyDescent="0.25">
      <c r="A28" t="str">
        <f>RTD("rtdtrading.rtdserver",, "BOOK0", "HORC", 25)</f>
        <v>09:54:05</v>
      </c>
      <c r="B28" t="str">
        <f>RTD("rtdtrading.rtdserver",, "BOOK0", "ACP", 25)</f>
        <v>BTG</v>
      </c>
      <c r="C28">
        <f>RTD("rtdtrading.rtdserver",, "BOOK0", "VOC", 25)</f>
        <v>160</v>
      </c>
      <c r="D28">
        <f>RTD("rtdtrading.rtdserver",, "BOOK0", "OCP", 25)</f>
        <v>174190</v>
      </c>
      <c r="E28">
        <f>RTD("rtdtrading.rtdserver",, "BOOK0", "OVD", 25)</f>
        <v>174335</v>
      </c>
      <c r="F28">
        <f>RTD("rtdtrading.rtdserver",, "BOOK0", "VOV", 25)</f>
        <v>66</v>
      </c>
      <c r="G28" t="str">
        <f>RTD("rtdtrading.rtdserver",, "BOOK0", "AVD", 25)</f>
        <v>Genial</v>
      </c>
      <c r="H28" t="str">
        <f>RTD("rtdtrading.rtdserver",, "BOOK0", "HORV", 25)</f>
        <v>09:52:05</v>
      </c>
    </row>
    <row r="29" spans="1:8" x14ac:dyDescent="0.25">
      <c r="A29" t="str">
        <f>RTD("rtdtrading.rtdserver",, "BOOK0", "HORC", 26)</f>
        <v>09:54:06</v>
      </c>
      <c r="B29" t="str">
        <f>RTD("rtdtrading.rtdserver",, "BOOK0", "ACP", 26)</f>
        <v>Agora</v>
      </c>
      <c r="C29">
        <f>RTD("rtdtrading.rtdserver",, "BOOK0", "VOC", 26)</f>
        <v>100</v>
      </c>
      <c r="D29">
        <f>RTD("rtdtrading.rtdserver",, "BOOK0", "OCP", 26)</f>
        <v>174190</v>
      </c>
      <c r="E29">
        <f>RTD("rtdtrading.rtdserver",, "BOOK0", "OVD", 26)</f>
        <v>174335</v>
      </c>
      <c r="F29">
        <f>RTD("rtdtrading.rtdserver",, "BOOK0", "VOV", 26)</f>
        <v>98</v>
      </c>
      <c r="G29" t="str">
        <f>RTD("rtdtrading.rtdserver",, "BOOK0", "AVD", 26)</f>
        <v>BTG</v>
      </c>
      <c r="H29" t="str">
        <f>RTD("rtdtrading.rtdserver",, "BOOK0", "HORV", 26)</f>
        <v>09:52:06</v>
      </c>
    </row>
    <row r="30" spans="1:8" x14ac:dyDescent="0.25">
      <c r="A30" t="str">
        <f>RTD("rtdtrading.rtdserver",, "BOOK0", "HORC", 27)</f>
        <v>09:52:28</v>
      </c>
      <c r="B30" t="str">
        <f>RTD("rtdtrading.rtdserver",, "BOOK0", "ACP", 27)</f>
        <v>XP</v>
      </c>
      <c r="C30">
        <f>RTD("rtdtrading.rtdserver",, "BOOK0", "VOC", 27)</f>
        <v>50</v>
      </c>
      <c r="D30">
        <f>RTD("rtdtrading.rtdserver",, "BOOK0", "OCP", 27)</f>
        <v>174185</v>
      </c>
      <c r="E30">
        <f>RTD("rtdtrading.rtdserver",, "BOOK0", "OVD", 27)</f>
        <v>174335</v>
      </c>
      <c r="F30">
        <f>RTD("rtdtrading.rtdserver",, "BOOK0", "VOV", 27)</f>
        <v>59</v>
      </c>
      <c r="G30" t="str">
        <f>RTD("rtdtrading.rtdserver",, "BOOK0", "AVD", 27)</f>
        <v>BTG</v>
      </c>
      <c r="H30" t="str">
        <f>RTD("rtdtrading.rtdserver",, "BOOK0", "HORV", 27)</f>
        <v>09:52:07</v>
      </c>
    </row>
    <row r="31" spans="1:8" x14ac:dyDescent="0.25">
      <c r="A31" t="str">
        <f>RTD("rtdtrading.rtdserver",, "BOOK0", "HORC", 28)</f>
        <v>09:54:05</v>
      </c>
      <c r="B31" t="str">
        <f>RTD("rtdtrading.rtdserver",, "BOOK0", "ACP", 28)</f>
        <v>BTG</v>
      </c>
      <c r="C31">
        <f>RTD("rtdtrading.rtdserver",, "BOOK0", "VOC", 28)</f>
        <v>159</v>
      </c>
      <c r="D31">
        <f>RTD("rtdtrading.rtdserver",, "BOOK0", "OCP", 28)</f>
        <v>174185</v>
      </c>
      <c r="E31">
        <f>RTD("rtdtrading.rtdserver",, "BOOK0", "OVD", 28)</f>
        <v>174340</v>
      </c>
      <c r="F31">
        <f>RTD("rtdtrading.rtdserver",, "BOOK0", "VOV", 28)</f>
        <v>59</v>
      </c>
      <c r="G31" t="str">
        <f>RTD("rtdtrading.rtdserver",, "BOOK0", "AVD", 28)</f>
        <v>Genial</v>
      </c>
      <c r="H31" t="str">
        <f>RTD("rtdtrading.rtdserver",, "BOOK0", "HORV", 28)</f>
        <v>09:52:03</v>
      </c>
    </row>
    <row r="32" spans="1:8" x14ac:dyDescent="0.25">
      <c r="A32" t="str">
        <f>RTD("rtdtrading.rtdserver",, "BOOK0", "HORC", 29)</f>
        <v>09:25:47</v>
      </c>
      <c r="B32" t="str">
        <f>RTD("rtdtrading.rtdserver",, "BOOK0", "ACP", 29)</f>
        <v>LEV</v>
      </c>
      <c r="C32">
        <f>RTD("rtdtrading.rtdserver",, "BOOK0", "VOC", 29)</f>
        <v>78</v>
      </c>
      <c r="D32">
        <f>RTD("rtdtrading.rtdserver",, "BOOK0", "OCP", 29)</f>
        <v>174180</v>
      </c>
      <c r="E32">
        <f>RTD("rtdtrading.rtdserver",, "BOOK0", "OVD", 29)</f>
        <v>174340</v>
      </c>
      <c r="F32">
        <f>RTD("rtdtrading.rtdserver",, "BOOK0", "VOV", 29)</f>
        <v>107</v>
      </c>
      <c r="G32" t="str">
        <f>RTD("rtdtrading.rtdserver",, "BOOK0", "AVD", 29)</f>
        <v>BTG</v>
      </c>
      <c r="H32" t="str">
        <f>RTD("rtdtrading.rtdserver",, "BOOK0", "HORV", 29)</f>
        <v>09:52:06</v>
      </c>
    </row>
    <row r="33" spans="1:8" x14ac:dyDescent="0.25">
      <c r="A33" t="str">
        <f>RTD("rtdtrading.rtdserver",, "BOOK0", "HORC", 30)</f>
        <v>09:46:09</v>
      </c>
      <c r="B33" t="str">
        <f>RTD("rtdtrading.rtdserver",, "BOOK0", "ACP", 30)</f>
        <v>BTG</v>
      </c>
      <c r="C33">
        <f>RTD("rtdtrading.rtdserver",, "BOOK0", "VOC", 30)</f>
        <v>141</v>
      </c>
      <c r="D33">
        <f>RTD("rtdtrading.rtdserver",, "BOOK0", "OCP", 30)</f>
        <v>174180</v>
      </c>
      <c r="E33">
        <f>RTD("rtdtrading.rtdserver",, "BOOK0", "OVD", 30)</f>
        <v>174340</v>
      </c>
      <c r="F33">
        <f>RTD("rtdtrading.rtdserver",, "BOOK0", "VOV", 30)</f>
        <v>53</v>
      </c>
      <c r="G33" t="str">
        <f>RTD("rtdtrading.rtdserver",, "BOOK0", "AVD", 30)</f>
        <v>BTG</v>
      </c>
      <c r="H33" t="str">
        <f>RTD("rtdtrading.rtdserver",, "BOOK0", "HORV", 30)</f>
        <v>09:52:06</v>
      </c>
    </row>
    <row r="34" spans="1:8" x14ac:dyDescent="0.25">
      <c r="A34" t="str">
        <f>RTD("rtdtrading.rtdserver",, "BOOK0", "HORC", 31)</f>
        <v>09:46:10</v>
      </c>
      <c r="B34" t="str">
        <f>RTD("rtdtrading.rtdserver",, "BOOK0", "ACP", 31)</f>
        <v>BTG</v>
      </c>
      <c r="C34">
        <f>RTD("rtdtrading.rtdserver",, "BOOK0", "VOC", 31)</f>
        <v>139</v>
      </c>
      <c r="D34">
        <f>RTD("rtdtrading.rtdserver",, "BOOK0", "OCP", 31)</f>
        <v>174175</v>
      </c>
      <c r="E34">
        <f>RTD("rtdtrading.rtdserver",, "BOOK0", "OVD", 31)</f>
        <v>174340</v>
      </c>
      <c r="F34">
        <f>RTD("rtdtrading.rtdserver",, "BOOK0", "VOV", 31)</f>
        <v>240</v>
      </c>
      <c r="G34" t="str">
        <f>RTD("rtdtrading.rtdserver",, "BOOK0", "AVD", 31)</f>
        <v>XP</v>
      </c>
      <c r="H34" t="str">
        <f>RTD("rtdtrading.rtdserver",, "BOOK0", "HORV", 31)</f>
        <v>09:53:10</v>
      </c>
    </row>
    <row r="35" spans="1:8" x14ac:dyDescent="0.25">
      <c r="A35" t="str">
        <f>RTD("rtdtrading.rtdserver",, "BOOK0", "HORC", 32)</f>
        <v>09:52:08</v>
      </c>
      <c r="B35" t="str">
        <f>RTD("rtdtrading.rtdserver",, "BOOK0", "ACP", 32)</f>
        <v>BTG</v>
      </c>
      <c r="C35">
        <f>RTD("rtdtrading.rtdserver",, "BOOK0", "VOC", 32)</f>
        <v>50</v>
      </c>
      <c r="D35">
        <f>RTD("rtdtrading.rtdserver",, "BOOK0", "OCP", 32)</f>
        <v>174175</v>
      </c>
      <c r="E35">
        <f>RTD("rtdtrading.rtdserver",, "BOOK0", "OVD", 32)</f>
        <v>174345</v>
      </c>
      <c r="F35">
        <f>RTD("rtdtrading.rtdserver",, "BOOK0", "VOV", 32)</f>
        <v>65</v>
      </c>
      <c r="G35" t="str">
        <f>RTD("rtdtrading.rtdserver",, "BOOK0", "AVD", 32)</f>
        <v>Genial</v>
      </c>
      <c r="H35" t="str">
        <f>RTD("rtdtrading.rtdserver",, "BOOK0", "HORV", 32)</f>
        <v>09:52:00</v>
      </c>
    </row>
    <row r="36" spans="1:8" x14ac:dyDescent="0.25">
      <c r="A36" t="str">
        <f>RTD("rtdtrading.rtdserver",, "BOOK0", "HORC", 33)</f>
        <v>09:47:14</v>
      </c>
      <c r="B36" t="str">
        <f>RTD("rtdtrading.rtdserver",, "BOOK0", "ACP", 33)</f>
        <v>BTG</v>
      </c>
      <c r="C36">
        <f>RTD("rtdtrading.rtdserver",, "BOOK0", "VOC", 33)</f>
        <v>143</v>
      </c>
      <c r="D36">
        <f>RTD("rtdtrading.rtdserver",, "BOOK0", "OCP", 33)</f>
        <v>174170</v>
      </c>
      <c r="E36">
        <f>RTD("rtdtrading.rtdserver",, "BOOK0", "OVD", 33)</f>
        <v>174345</v>
      </c>
      <c r="F36">
        <f>RTD("rtdtrading.rtdserver",, "BOOK0", "VOV", 33)</f>
        <v>110</v>
      </c>
      <c r="G36" t="str">
        <f>RTD("rtdtrading.rtdserver",, "BOOK0", "AVD", 33)</f>
        <v>BTG</v>
      </c>
      <c r="H36" t="str">
        <f>RTD("rtdtrading.rtdserver",, "BOOK0", "HORV", 33)</f>
        <v>09:52:06</v>
      </c>
    </row>
    <row r="37" spans="1:8" x14ac:dyDescent="0.25">
      <c r="A37" t="str">
        <f>RTD("rtdtrading.rtdserver",, "BOOK0", "HORC", 34)</f>
        <v>09:47:14</v>
      </c>
      <c r="B37" t="str">
        <f>RTD("rtdtrading.rtdserver",, "BOOK0", "ACP", 34)</f>
        <v>BTG</v>
      </c>
      <c r="C37">
        <f>RTD("rtdtrading.rtdserver",, "BOOK0", "VOC", 34)</f>
        <v>143</v>
      </c>
      <c r="D37">
        <f>RTD("rtdtrading.rtdserver",, "BOOK0", "OCP", 34)</f>
        <v>174165</v>
      </c>
      <c r="E37">
        <f>RTD("rtdtrading.rtdserver",, "BOOK0", "OVD", 34)</f>
        <v>174345</v>
      </c>
      <c r="F37">
        <f>RTD("rtdtrading.rtdserver",, "BOOK0", "VOV", 34)</f>
        <v>50</v>
      </c>
      <c r="G37" t="str">
        <f>RTD("rtdtrading.rtdserver",, "BOOK0", "AVD", 34)</f>
        <v>BTG</v>
      </c>
      <c r="H37" t="str">
        <f>RTD("rtdtrading.rtdserver",, "BOOK0", "HORV", 34)</f>
        <v>09:52:06</v>
      </c>
    </row>
    <row r="38" spans="1:8" x14ac:dyDescent="0.25">
      <c r="A38" t="str">
        <f>RTD("rtdtrading.rtdserver",, "BOOK0", "HORC", 35)</f>
        <v>09:52:30</v>
      </c>
      <c r="B38" t="str">
        <f>RTD("rtdtrading.rtdserver",, "BOOK0", "ACP", 35)</f>
        <v>CM Capital</v>
      </c>
      <c r="C38">
        <f>RTD("rtdtrading.rtdserver",, "BOOK0", "VOC", 35)</f>
        <v>50</v>
      </c>
      <c r="D38">
        <f>RTD("rtdtrading.rtdserver",, "BOOK0", "OCP", 35)</f>
        <v>174165</v>
      </c>
      <c r="E38">
        <f>RTD("rtdtrading.rtdserver",, "BOOK0", "OVD", 35)</f>
        <v>174350</v>
      </c>
      <c r="F38">
        <f>RTD("rtdtrading.rtdserver",, "BOOK0", "VOV", 35)</f>
        <v>57</v>
      </c>
      <c r="G38" t="str">
        <f>RTD("rtdtrading.rtdserver",, "BOOK0", "AVD", 35)</f>
        <v>Genial</v>
      </c>
      <c r="H38" t="str">
        <f>RTD("rtdtrading.rtdserver",, "BOOK0", "HORV", 35)</f>
        <v>09:52:00</v>
      </c>
    </row>
    <row r="39" spans="1:8" x14ac:dyDescent="0.25">
      <c r="A39" t="str">
        <f>RTD("rtdtrading.rtdserver",, "BOOK0", "HORC", 36)</f>
        <v>09:47:14</v>
      </c>
      <c r="B39" t="str">
        <f>RTD("rtdtrading.rtdserver",, "BOOK0", "ACP", 36)</f>
        <v>BTG</v>
      </c>
      <c r="C39">
        <f>RTD("rtdtrading.rtdserver",, "BOOK0", "VOC", 36)</f>
        <v>141</v>
      </c>
      <c r="D39">
        <f>RTD("rtdtrading.rtdserver",, "BOOK0", "OCP", 36)</f>
        <v>174160</v>
      </c>
      <c r="E39">
        <f>RTD("rtdtrading.rtdserver",, "BOOK0", "OVD", 36)</f>
        <v>174350</v>
      </c>
      <c r="F39">
        <f>RTD("rtdtrading.rtdserver",, "BOOK0", "VOV", 36)</f>
        <v>108</v>
      </c>
      <c r="G39" t="str">
        <f>RTD("rtdtrading.rtdserver",, "BOOK0", "AVD", 36)</f>
        <v>BTG</v>
      </c>
      <c r="H39" t="str">
        <f>RTD("rtdtrading.rtdserver",, "BOOK0", "HORV", 36)</f>
        <v>09:52:06</v>
      </c>
    </row>
    <row r="40" spans="1:8" x14ac:dyDescent="0.25">
      <c r="A40" t="str">
        <f>RTD("rtdtrading.rtdserver",, "BOOK0", "HORC", 37)</f>
        <v>09:47:15</v>
      </c>
      <c r="B40" t="str">
        <f>RTD("rtdtrading.rtdserver",, "BOOK0", "ACP", 37)</f>
        <v>BTG</v>
      </c>
      <c r="C40">
        <f>RTD("rtdtrading.rtdserver",, "BOOK0", "VOC", 37)</f>
        <v>140</v>
      </c>
      <c r="D40">
        <f>RTD("rtdtrading.rtdserver",, "BOOK0", "OCP", 37)</f>
        <v>174155</v>
      </c>
      <c r="E40">
        <f>RTD("rtdtrading.rtdserver",, "BOOK0", "OVD", 37)</f>
        <v>174350</v>
      </c>
      <c r="F40">
        <f>RTD("rtdtrading.rtdserver",, "BOOK0", "VOV", 37)</f>
        <v>52</v>
      </c>
      <c r="G40" t="str">
        <f>RTD("rtdtrading.rtdserver",, "BOOK0", "AVD", 37)</f>
        <v>BTG</v>
      </c>
      <c r="H40" t="str">
        <f>RTD("rtdtrading.rtdserver",, "BOOK0", "HORV", 37)</f>
        <v>09:52:06</v>
      </c>
    </row>
    <row r="41" spans="1:8" x14ac:dyDescent="0.25">
      <c r="A41" t="str">
        <f>RTD("rtdtrading.rtdserver",, "BOOK0", "HORC", 38)</f>
        <v>09:52:24</v>
      </c>
      <c r="B41" t="str">
        <f>RTD("rtdtrading.rtdserver",, "BOOK0", "ACP", 38)</f>
        <v>XP</v>
      </c>
      <c r="C41">
        <f>RTD("rtdtrading.rtdserver",, "BOOK0", "VOC", 38)</f>
        <v>50</v>
      </c>
      <c r="D41">
        <f>RTD("rtdtrading.rtdserver",, "BOOK0", "OCP", 38)</f>
        <v>174155</v>
      </c>
      <c r="E41">
        <f>RTD("rtdtrading.rtdserver",, "BOOK0", "OVD", 38)</f>
        <v>174350</v>
      </c>
      <c r="F41">
        <f>RTD("rtdtrading.rtdserver",, "BOOK0", "VOV", 38)</f>
        <v>50</v>
      </c>
      <c r="G41" t="str">
        <f>RTD("rtdtrading.rtdserver",, "BOOK0", "AVD", 38)</f>
        <v>XP</v>
      </c>
      <c r="H41" t="str">
        <f>RTD("rtdtrading.rtdserver",, "BOOK0", "HORV", 38)</f>
        <v>09:52:07</v>
      </c>
    </row>
    <row r="42" spans="1:8" x14ac:dyDescent="0.25">
      <c r="A42" t="str">
        <f>RTD("rtdtrading.rtdserver",, "BOOK0", "HORC", 39)</f>
        <v>09:53:24</v>
      </c>
      <c r="B42" t="str">
        <f>RTD("rtdtrading.rtdserver",, "BOOK0", "ACP", 39)</f>
        <v>CM Capital</v>
      </c>
      <c r="C42">
        <f>RTD("rtdtrading.rtdserver",, "BOOK0", "VOC", 39)</f>
        <v>59</v>
      </c>
      <c r="D42">
        <f>RTD("rtdtrading.rtdserver",, "BOOK0", "OCP", 39)</f>
        <v>174155</v>
      </c>
      <c r="E42">
        <f>RTD("rtdtrading.rtdserver",, "BOOK0", "OVD", 39)</f>
        <v>174355</v>
      </c>
      <c r="F42">
        <f>RTD("rtdtrading.rtdserver",, "BOOK0", "VOV", 39)</f>
        <v>63</v>
      </c>
      <c r="G42" t="str">
        <f>RTD("rtdtrading.rtdserver",, "BOOK0", "AVD", 39)</f>
        <v>Genial</v>
      </c>
      <c r="H42" t="str">
        <f>RTD("rtdtrading.rtdserver",, "BOOK0", "HORV", 39)</f>
        <v>09:52:00</v>
      </c>
    </row>
    <row r="43" spans="1:8" x14ac:dyDescent="0.25">
      <c r="A43" t="str">
        <f>RTD("rtdtrading.rtdserver",, "BOOK0", "HORC", 40)</f>
        <v>09:35:47</v>
      </c>
      <c r="B43" t="str">
        <f>RTD("rtdtrading.rtdserver",, "BOOK0", "ACP", 40)</f>
        <v>Necton</v>
      </c>
      <c r="C43">
        <f>RTD("rtdtrading.rtdserver",, "BOOK0", "VOC", 40)</f>
        <v>50</v>
      </c>
      <c r="D43">
        <f>RTD("rtdtrading.rtdserver",, "BOOK0", "OCP", 40)</f>
        <v>174150</v>
      </c>
      <c r="E43">
        <f>RTD("rtdtrading.rtdserver",, "BOOK0", "OVD", 40)</f>
        <v>174355</v>
      </c>
      <c r="F43">
        <f>RTD("rtdtrading.rtdserver",, "BOOK0", "VOV", 40)</f>
        <v>99</v>
      </c>
      <c r="G43" t="str">
        <f>RTD("rtdtrading.rtdserver",, "BOOK0", "AVD", 40)</f>
        <v>BTG</v>
      </c>
      <c r="H43" t="str">
        <f>RTD("rtdtrading.rtdserver",, "BOOK0", "HORV", 40)</f>
        <v>09:52:04</v>
      </c>
    </row>
    <row r="44" spans="1:8" x14ac:dyDescent="0.25">
      <c r="A44" t="str">
        <f>RTD("rtdtrading.rtdserver",, "BOOK0", "HORC", 41)</f>
        <v>09:47:15</v>
      </c>
      <c r="B44" t="str">
        <f>RTD("rtdtrading.rtdserver",, "BOOK0", "ACP", 41)</f>
        <v>BTG</v>
      </c>
      <c r="C44">
        <f>RTD("rtdtrading.rtdserver",, "BOOK0", "VOC", 41)</f>
        <v>140</v>
      </c>
      <c r="D44">
        <f>RTD("rtdtrading.rtdserver",, "BOOK0", "OCP", 41)</f>
        <v>174150</v>
      </c>
      <c r="E44">
        <f>RTD("rtdtrading.rtdserver",, "BOOK0", "OVD", 41)</f>
        <v>174355</v>
      </c>
      <c r="F44">
        <f>RTD("rtdtrading.rtdserver",, "BOOK0", "VOV", 41)</f>
        <v>61</v>
      </c>
      <c r="G44" t="str">
        <f>RTD("rtdtrading.rtdserver",, "BOOK0", "AVD", 41)</f>
        <v>BTG</v>
      </c>
      <c r="H44" t="str">
        <f>RTD("rtdtrading.rtdserver",, "BOOK0", "HORV", 41)</f>
        <v>09:52:06</v>
      </c>
    </row>
    <row r="45" spans="1:8" x14ac:dyDescent="0.25">
      <c r="A45" t="str">
        <f>RTD("rtdtrading.rtdserver",, "BOOK0", "HORC", 42)</f>
        <v>09:52:13</v>
      </c>
      <c r="B45" t="str">
        <f>RTD("rtdtrading.rtdserver",, "BOOK0", "ACP", 42)</f>
        <v>Agora</v>
      </c>
      <c r="C45">
        <f>RTD("rtdtrading.rtdserver",, "BOOK0", "VOC", 42)</f>
        <v>100</v>
      </c>
      <c r="D45">
        <f>RTD("rtdtrading.rtdserver",, "BOOK0", "OCP", 42)</f>
        <v>174150</v>
      </c>
      <c r="E45">
        <f>RTD("rtdtrading.rtdserver",, "BOOK0", "OVD", 42)</f>
        <v>174360</v>
      </c>
      <c r="F45">
        <f>RTD("rtdtrading.rtdserver",, "BOOK0", "VOV", 42)</f>
        <v>55</v>
      </c>
      <c r="G45" t="str">
        <f>RTD("rtdtrading.rtdserver",, "BOOK0", "AVD", 42)</f>
        <v>Genial</v>
      </c>
      <c r="H45" t="str">
        <f>RTD("rtdtrading.rtdserver",, "BOOK0", "HORV", 42)</f>
        <v>09:52:00</v>
      </c>
    </row>
    <row r="46" spans="1:8" x14ac:dyDescent="0.25">
      <c r="A46" t="str">
        <f>RTD("rtdtrading.rtdserver",, "BOOK0", "HORC", 43)</f>
        <v>09:53:02</v>
      </c>
      <c r="B46" t="str">
        <f>RTD("rtdtrading.rtdserver",, "BOOK0", "ACP", 43)</f>
        <v>XP</v>
      </c>
      <c r="C46">
        <f>RTD("rtdtrading.rtdserver",, "BOOK0", "VOC", 43)</f>
        <v>50</v>
      </c>
      <c r="D46">
        <f>RTD("rtdtrading.rtdserver",, "BOOK0", "OCP", 43)</f>
        <v>174150</v>
      </c>
      <c r="E46">
        <f>RTD("rtdtrading.rtdserver",, "BOOK0", "OVD", 43)</f>
        <v>174360</v>
      </c>
      <c r="F46">
        <f>RTD("rtdtrading.rtdserver",, "BOOK0", "VOV", 43)</f>
        <v>106</v>
      </c>
      <c r="G46" t="str">
        <f>RTD("rtdtrading.rtdserver",, "BOOK0", "AVD", 43)</f>
        <v>BTG</v>
      </c>
      <c r="H46" t="str">
        <f>RTD("rtdtrading.rtdserver",, "BOOK0", "HORV", 43)</f>
        <v>09:52:03</v>
      </c>
    </row>
    <row r="47" spans="1:8" x14ac:dyDescent="0.25">
      <c r="A47" t="str">
        <f>RTD("rtdtrading.rtdserver",, "BOOK0", "HORC", 44)</f>
        <v>09:47:15</v>
      </c>
      <c r="B47" t="str">
        <f>RTD("rtdtrading.rtdserver",, "BOOK0", "ACP", 44)</f>
        <v>BTG</v>
      </c>
      <c r="C47">
        <f>RTD("rtdtrading.rtdserver",, "BOOK0", "VOC", 44)</f>
        <v>140</v>
      </c>
      <c r="D47">
        <f>RTD("rtdtrading.rtdserver",, "BOOK0", "OCP", 44)</f>
        <v>174145</v>
      </c>
      <c r="E47">
        <f>RTD("rtdtrading.rtdserver",, "BOOK0", "OVD", 44)</f>
        <v>174360</v>
      </c>
      <c r="F47">
        <f>RTD("rtdtrading.rtdserver",, "BOOK0", "VOV", 44)</f>
        <v>54</v>
      </c>
      <c r="G47" t="str">
        <f>RTD("rtdtrading.rtdserver",, "BOOK0", "AVD", 44)</f>
        <v>BTG</v>
      </c>
      <c r="H47" t="str">
        <f>RTD("rtdtrading.rtdserver",, "BOOK0", "HORV", 44)</f>
        <v>09:52:04</v>
      </c>
    </row>
    <row r="48" spans="1:8" x14ac:dyDescent="0.25">
      <c r="A48" t="str">
        <f>RTD("rtdtrading.rtdserver",, "BOOK0", "HORC", 45)</f>
        <v>09:47:15</v>
      </c>
      <c r="B48" t="str">
        <f>RTD("rtdtrading.rtdserver",, "BOOK0", "ACP", 45)</f>
        <v>BTG</v>
      </c>
      <c r="C48">
        <f>RTD("rtdtrading.rtdserver",, "BOOK0", "VOC", 45)</f>
        <v>140</v>
      </c>
      <c r="D48">
        <f>RTD("rtdtrading.rtdserver",, "BOOK0", "OCP", 45)</f>
        <v>174140</v>
      </c>
      <c r="E48">
        <f>RTD("rtdtrading.rtdserver",, "BOOK0", "OVD", 45)</f>
        <v>174365</v>
      </c>
      <c r="F48">
        <f>RTD("rtdtrading.rtdserver",, "BOOK0", "VOV", 45)</f>
        <v>61</v>
      </c>
      <c r="G48" t="str">
        <f>RTD("rtdtrading.rtdserver",, "BOOK0", "AVD", 45)</f>
        <v>Genial</v>
      </c>
      <c r="H48" t="str">
        <f>RTD("rtdtrading.rtdserver",, "BOOK0", "HORV", 45)</f>
        <v>09:51:58</v>
      </c>
    </row>
    <row r="49" spans="1:8" x14ac:dyDescent="0.25">
      <c r="A49" t="str">
        <f>RTD("rtdtrading.rtdserver",, "BOOK0", "HORC", 46)</f>
        <v>09:52:34</v>
      </c>
      <c r="B49" t="str">
        <f>RTD("rtdtrading.rtdserver",, "BOOK0", "ACP", 46)</f>
        <v>XP</v>
      </c>
      <c r="C49">
        <f>RTD("rtdtrading.rtdserver",, "BOOK0", "VOC", 46)</f>
        <v>50</v>
      </c>
      <c r="D49">
        <f>RTD("rtdtrading.rtdserver",, "BOOK0", "OCP", 46)</f>
        <v>174140</v>
      </c>
      <c r="E49">
        <f>RTD("rtdtrading.rtdserver",, "BOOK0", "OVD", 46)</f>
        <v>174365</v>
      </c>
      <c r="F49">
        <f>RTD("rtdtrading.rtdserver",, "BOOK0", "VOV", 46)</f>
        <v>99</v>
      </c>
      <c r="G49" t="str">
        <f>RTD("rtdtrading.rtdserver",, "BOOK0", "AVD", 46)</f>
        <v>BTG</v>
      </c>
      <c r="H49" t="str">
        <f>RTD("rtdtrading.rtdserver",, "BOOK0", "HORV", 46)</f>
        <v>09:52:03</v>
      </c>
    </row>
    <row r="50" spans="1:8" x14ac:dyDescent="0.25">
      <c r="A50" t="str">
        <f>RTD("rtdtrading.rtdserver",, "BOOK0", "HORC", 47)</f>
        <v>09:52:51</v>
      </c>
      <c r="B50" t="str">
        <f>RTD("rtdtrading.rtdserver",, "BOOK0", "ACP", 47)</f>
        <v>XP</v>
      </c>
      <c r="C50">
        <f>RTD("rtdtrading.rtdserver",, "BOOK0", "VOC", 47)</f>
        <v>50</v>
      </c>
      <c r="D50">
        <f>RTD("rtdtrading.rtdserver",, "BOOK0", "OCP", 47)</f>
        <v>174140</v>
      </c>
      <c r="E50">
        <f>RTD("rtdtrading.rtdserver",, "BOOK0", "OVD", 47)</f>
        <v>174365</v>
      </c>
      <c r="F50">
        <f>RTD("rtdtrading.rtdserver",, "BOOK0", "VOV", 47)</f>
        <v>61</v>
      </c>
      <c r="G50" t="str">
        <f>RTD("rtdtrading.rtdserver",, "BOOK0", "AVD", 47)</f>
        <v>BTG</v>
      </c>
      <c r="H50" t="str">
        <f>RTD("rtdtrading.rtdserver",, "BOOK0", "HORV", 47)</f>
        <v>09:52:04</v>
      </c>
    </row>
    <row r="51" spans="1:8" x14ac:dyDescent="0.25">
      <c r="A51" t="str">
        <f>RTD("rtdtrading.rtdserver",, "BOOK0", "HORC", 48)</f>
        <v>09:47:15</v>
      </c>
      <c r="B51" t="str">
        <f>RTD("rtdtrading.rtdserver",, "BOOK0", "ACP", 48)</f>
        <v>BTG</v>
      </c>
      <c r="C51">
        <f>RTD("rtdtrading.rtdserver",, "BOOK0", "VOC", 48)</f>
        <v>140</v>
      </c>
      <c r="D51">
        <f>RTD("rtdtrading.rtdserver",, "BOOK0", "OCP", 48)</f>
        <v>174135</v>
      </c>
      <c r="E51">
        <f>RTD("rtdtrading.rtdserver",, "BOOK0", "OVD", 48)</f>
        <v>174365</v>
      </c>
      <c r="F51">
        <f>RTD("rtdtrading.rtdserver",, "BOOK0", "VOV", 48)</f>
        <v>250</v>
      </c>
      <c r="G51" t="str">
        <f>RTD("rtdtrading.rtdserver",, "BOOK0", "AVD", 48)</f>
        <v>BTG</v>
      </c>
      <c r="H51" t="str">
        <f>RTD("rtdtrading.rtdserver",, "BOOK0", "HORV", 48)</f>
        <v>09:53:03</v>
      </c>
    </row>
    <row r="52" spans="1:8" x14ac:dyDescent="0.25">
      <c r="A52" t="str">
        <f>RTD("rtdtrading.rtdserver",, "BOOK0", "HORC", 49)</f>
        <v>09:53:17</v>
      </c>
      <c r="B52" t="str">
        <f>RTD("rtdtrading.rtdserver",, "BOOK0", "ACP", 49)</f>
        <v>XP</v>
      </c>
      <c r="C52">
        <f>RTD("rtdtrading.rtdserver",, "BOOK0", "VOC", 49)</f>
        <v>100</v>
      </c>
      <c r="D52">
        <f>RTD("rtdtrading.rtdserver",, "BOOK0", "OCP", 49)</f>
        <v>174135</v>
      </c>
      <c r="E52">
        <f>RTD("rtdtrading.rtdserver",, "BOOK0", "OVD", 49)</f>
        <v>174370</v>
      </c>
      <c r="F52">
        <f>RTD("rtdtrading.rtdserver",, "BOOK0", "VOV", 49)</f>
        <v>66</v>
      </c>
      <c r="G52" t="str">
        <f>RTD("rtdtrading.rtdserver",, "BOOK0", "AVD", 49)</f>
        <v>Genial</v>
      </c>
      <c r="H52" t="str">
        <f>RTD("rtdtrading.rtdserver",, "BOOK0", "HORV", 49)</f>
        <v>09:51:49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2026-08-24T18:03:37Z</dcterms:created>
  <dcterms:modified xsi:type="dcterms:W3CDTF">2026-08-25T11:53:45Z</dcterms:modified>
</cp:coreProperties>
</file>