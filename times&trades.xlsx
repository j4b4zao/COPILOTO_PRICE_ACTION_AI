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PILOTO_PRICE_ACTION_AI\"/>
    </mc:Choice>
  </mc:AlternateContent>
  <xr:revisionPtr revIDLastSave="0" documentId="13_ncr:1_{B4DBEFAE-CD2E-4FDA-9EB0-94878F8DE579}" xr6:coauthVersionLast="47" xr6:coauthVersionMax="47" xr10:uidLastSave="{00000000-0000-0000-0000-000000000000}"/>
  <bookViews>
    <workbookView xWindow="-25320" yWindow="270" windowWidth="25440" windowHeight="15390" xr2:uid="{946A60A2-45C9-46FF-9ECC-1DA0A5CBEAC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1" l="1"/>
  <c r="B1" i="1"/>
  <c r="A3" i="1"/>
  <c r="B3" i="1"/>
  <c r="C3" i="1"/>
  <c r="D3" i="1"/>
  <c r="E3" i="1"/>
  <c r="F3" i="1"/>
  <c r="A4" i="1"/>
  <c r="B4" i="1"/>
  <c r="C4" i="1"/>
  <c r="D4" i="1"/>
  <c r="E4" i="1"/>
  <c r="F4" i="1"/>
  <c r="A5" i="1"/>
  <c r="B5" i="1"/>
  <c r="C5" i="1"/>
  <c r="D5" i="1"/>
  <c r="E5" i="1"/>
  <c r="F5" i="1"/>
  <c r="A6" i="1"/>
  <c r="B6" i="1"/>
  <c r="C6" i="1"/>
  <c r="D6" i="1"/>
  <c r="E6" i="1"/>
  <c r="F6" i="1"/>
  <c r="A7" i="1"/>
  <c r="B7" i="1"/>
  <c r="C7" i="1"/>
  <c r="D7" i="1"/>
  <c r="E7" i="1"/>
  <c r="F7" i="1"/>
  <c r="A8" i="1"/>
  <c r="B8" i="1"/>
  <c r="C8" i="1"/>
  <c r="D8" i="1"/>
  <c r="E8" i="1"/>
  <c r="F8" i="1"/>
  <c r="A9" i="1"/>
  <c r="B9" i="1"/>
  <c r="C9" i="1"/>
  <c r="D9" i="1"/>
  <c r="E9" i="1"/>
  <c r="F9" i="1"/>
  <c r="A10" i="1"/>
  <c r="B10" i="1"/>
  <c r="C10" i="1"/>
  <c r="D10" i="1"/>
  <c r="E10" i="1"/>
  <c r="F10" i="1"/>
  <c r="A11" i="1"/>
  <c r="B11" i="1"/>
  <c r="C11" i="1"/>
  <c r="D11" i="1"/>
  <c r="E11" i="1"/>
  <c r="F11" i="1"/>
  <c r="A12" i="1"/>
  <c r="B12" i="1"/>
  <c r="C12" i="1"/>
  <c r="D12" i="1"/>
  <c r="E12" i="1"/>
  <c r="F12" i="1"/>
  <c r="A13" i="1"/>
  <c r="B13" i="1"/>
  <c r="C13" i="1"/>
  <c r="D13" i="1"/>
  <c r="E13" i="1"/>
  <c r="F13" i="1"/>
  <c r="A14" i="1"/>
  <c r="B14" i="1"/>
  <c r="C14" i="1"/>
  <c r="D14" i="1"/>
  <c r="E14" i="1"/>
  <c r="F14" i="1"/>
  <c r="A15" i="1"/>
  <c r="B15" i="1"/>
  <c r="C15" i="1"/>
  <c r="D15" i="1"/>
  <c r="E15" i="1"/>
  <c r="F15" i="1"/>
  <c r="A16" i="1"/>
  <c r="B16" i="1"/>
  <c r="C16" i="1"/>
  <c r="D16" i="1"/>
  <c r="E16" i="1"/>
  <c r="F16" i="1"/>
  <c r="A17" i="1"/>
  <c r="B17" i="1"/>
  <c r="C17" i="1"/>
  <c r="D17" i="1"/>
  <c r="E17" i="1"/>
  <c r="F17" i="1"/>
  <c r="A18" i="1"/>
  <c r="B18" i="1"/>
  <c r="C18" i="1"/>
  <c r="D18" i="1"/>
  <c r="E18" i="1"/>
  <c r="F18" i="1"/>
  <c r="A19" i="1"/>
  <c r="B19" i="1"/>
  <c r="C19" i="1"/>
  <c r="D19" i="1"/>
  <c r="E19" i="1"/>
  <c r="F19" i="1"/>
  <c r="A20" i="1"/>
  <c r="B20" i="1"/>
  <c r="C20" i="1"/>
  <c r="D20" i="1"/>
  <c r="E20" i="1"/>
  <c r="F20" i="1"/>
  <c r="A21" i="1"/>
  <c r="B21" i="1"/>
  <c r="C21" i="1"/>
  <c r="D21" i="1"/>
  <c r="E21" i="1"/>
  <c r="F21" i="1"/>
  <c r="A22" i="1"/>
  <c r="B22" i="1"/>
  <c r="C22" i="1"/>
  <c r="D22" i="1"/>
  <c r="E22" i="1"/>
  <c r="F22" i="1"/>
  <c r="A23" i="1"/>
  <c r="B23" i="1"/>
  <c r="C23" i="1"/>
  <c r="D23" i="1"/>
  <c r="E23" i="1"/>
  <c r="F23" i="1"/>
  <c r="A24" i="1"/>
  <c r="B24" i="1"/>
  <c r="C24" i="1"/>
  <c r="D24" i="1"/>
  <c r="E24" i="1"/>
  <c r="F24" i="1"/>
  <c r="A25" i="1"/>
  <c r="B25" i="1"/>
  <c r="C25" i="1"/>
  <c r="D25" i="1"/>
  <c r="E25" i="1"/>
  <c r="F25" i="1"/>
  <c r="A26" i="1"/>
  <c r="B26" i="1"/>
  <c r="C26" i="1"/>
  <c r="D26" i="1"/>
  <c r="E26" i="1"/>
  <c r="F26" i="1"/>
  <c r="A27" i="1"/>
  <c r="B27" i="1"/>
  <c r="C27" i="1"/>
  <c r="D27" i="1"/>
  <c r="E27" i="1"/>
  <c r="F27" i="1"/>
  <c r="A28" i="1"/>
  <c r="B28" i="1"/>
  <c r="C28" i="1"/>
  <c r="D28" i="1"/>
  <c r="E28" i="1"/>
  <c r="F28" i="1"/>
  <c r="A29" i="1"/>
  <c r="B29" i="1"/>
  <c r="C29" i="1"/>
  <c r="D29" i="1"/>
  <c r="E29" i="1"/>
  <c r="F29" i="1"/>
  <c r="A30" i="1"/>
  <c r="B30" i="1"/>
  <c r="C30" i="1"/>
  <c r="D30" i="1"/>
  <c r="E30" i="1"/>
  <c r="F30" i="1"/>
  <c r="A31" i="1"/>
  <c r="B31" i="1"/>
  <c r="C31" i="1"/>
  <c r="D31" i="1"/>
  <c r="E31" i="1"/>
  <c r="F31" i="1"/>
  <c r="A32" i="1"/>
  <c r="B32" i="1"/>
  <c r="C32" i="1"/>
  <c r="D32" i="1"/>
  <c r="E32" i="1"/>
  <c r="F32" i="1"/>
  <c r="A33" i="1"/>
  <c r="B33" i="1"/>
  <c r="C33" i="1"/>
  <c r="D33" i="1"/>
  <c r="E33" i="1"/>
  <c r="F33" i="1"/>
  <c r="A34" i="1"/>
  <c r="B34" i="1"/>
  <c r="C34" i="1"/>
  <c r="D34" i="1"/>
  <c r="E34" i="1"/>
  <c r="F34" i="1"/>
  <c r="A35" i="1"/>
  <c r="B35" i="1"/>
  <c r="C35" i="1"/>
  <c r="D35" i="1"/>
  <c r="E35" i="1"/>
  <c r="F35" i="1"/>
  <c r="A36" i="1"/>
  <c r="B36" i="1"/>
  <c r="C36" i="1"/>
  <c r="D36" i="1"/>
  <c r="E36" i="1"/>
  <c r="F36" i="1"/>
  <c r="A37" i="1"/>
  <c r="B37" i="1"/>
  <c r="C37" i="1"/>
  <c r="D37" i="1"/>
  <c r="E37" i="1"/>
  <c r="F37" i="1"/>
  <c r="A38" i="1"/>
  <c r="B38" i="1"/>
  <c r="C38" i="1"/>
  <c r="D38" i="1"/>
  <c r="E38" i="1"/>
  <c r="F38" i="1"/>
  <c r="A39" i="1"/>
  <c r="B39" i="1"/>
  <c r="C39" i="1"/>
  <c r="D39" i="1"/>
  <c r="E39" i="1"/>
  <c r="F39" i="1"/>
  <c r="A40" i="1"/>
  <c r="B40" i="1"/>
  <c r="C40" i="1"/>
  <c r="D40" i="1"/>
  <c r="E40" i="1"/>
  <c r="F40" i="1"/>
  <c r="A41" i="1"/>
  <c r="B41" i="1"/>
  <c r="C41" i="1"/>
  <c r="D41" i="1"/>
  <c r="E41" i="1"/>
  <c r="F41" i="1"/>
  <c r="A42" i="1"/>
  <c r="B42" i="1"/>
  <c r="C42" i="1"/>
  <c r="D42" i="1"/>
  <c r="E42" i="1"/>
  <c r="F42" i="1"/>
  <c r="A43" i="1"/>
  <c r="B43" i="1"/>
  <c r="C43" i="1"/>
  <c r="D43" i="1"/>
  <c r="E43" i="1"/>
  <c r="F43" i="1"/>
  <c r="A44" i="1"/>
  <c r="B44" i="1"/>
  <c r="C44" i="1"/>
  <c r="D44" i="1"/>
  <c r="E44" i="1"/>
  <c r="F44" i="1"/>
  <c r="A45" i="1"/>
  <c r="B45" i="1"/>
  <c r="C45" i="1"/>
  <c r="D45" i="1"/>
  <c r="E45" i="1"/>
  <c r="F45" i="1"/>
  <c r="A46" i="1"/>
  <c r="B46" i="1"/>
  <c r="C46" i="1"/>
  <c r="D46" i="1"/>
  <c r="E46" i="1"/>
  <c r="F46" i="1"/>
  <c r="A47" i="1"/>
  <c r="B47" i="1"/>
  <c r="C47" i="1"/>
  <c r="D47" i="1"/>
  <c r="E47" i="1"/>
  <c r="F47" i="1"/>
  <c r="A48" i="1"/>
  <c r="B48" i="1"/>
  <c r="C48" i="1"/>
  <c r="D48" i="1"/>
  <c r="E48" i="1"/>
  <c r="F48" i="1"/>
  <c r="A49" i="1"/>
  <c r="B49" i="1"/>
  <c r="C49" i="1"/>
  <c r="D49" i="1"/>
  <c r="E49" i="1"/>
  <c r="F49" i="1"/>
  <c r="A50" i="1"/>
  <c r="B50" i="1"/>
  <c r="C50" i="1"/>
  <c r="D50" i="1"/>
  <c r="E50" i="1"/>
  <c r="F50" i="1"/>
  <c r="A51" i="1"/>
  <c r="B51" i="1"/>
  <c r="C51" i="1"/>
  <c r="D51" i="1"/>
  <c r="E51" i="1"/>
  <c r="F51" i="1"/>
  <c r="A52" i="1"/>
  <c r="B52" i="1"/>
  <c r="C52" i="1"/>
  <c r="D52" i="1"/>
  <c r="E52" i="1"/>
  <c r="F52" i="1"/>
</calcChain>
</file>

<file path=xl/sharedStrings.xml><?xml version="1.0" encoding="utf-8"?>
<sst xmlns="http://schemas.openxmlformats.org/spreadsheetml/2006/main" count="6" uniqueCount="6">
  <si>
    <t>Data</t>
  </si>
  <si>
    <t>Compradora</t>
  </si>
  <si>
    <t>Valor</t>
  </si>
  <si>
    <t>Quantidade</t>
  </si>
  <si>
    <t>Vendedora</t>
  </si>
  <si>
    <t>Agressor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</si>
</sst>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trading.rtdserver">
      <tp t="s">
        <v>25/08/2026 09:50:44.270</v>
        <stp/>
        <stp>T&amp;T0</stp>
        <stp>DAT</stp>
        <stp>8</stp>
        <tr r="A11" s="1"/>
      </tp>
      <tp t="s">
        <v>25/08/2026 09:50:42.666</v>
        <stp/>
        <stp>T&amp;T0</stp>
        <stp>DAT</stp>
        <stp>9</stp>
        <tr r="A12" s="1"/>
      </tp>
      <tp t="s">
        <v>25/08/2026 09:50:44.270</v>
        <stp/>
        <stp>T&amp;T0</stp>
        <stp>DAT</stp>
        <stp>6</stp>
        <tr r="A9" s="1"/>
      </tp>
      <tp t="s">
        <v>25/08/2026 09:50:44.270</v>
        <stp/>
        <stp>T&amp;T0</stp>
        <stp>DAT</stp>
        <stp>7</stp>
        <tr r="A10" s="1"/>
      </tp>
      <tp t="s">
        <v>25/08/2026 09:50:44.289</v>
        <stp/>
        <stp>T&amp;T0</stp>
        <stp>DAT</stp>
        <stp>4</stp>
        <tr r="A7" s="1"/>
      </tp>
      <tp t="s">
        <v>25/08/2026 09:50:44.274</v>
        <stp/>
        <stp>T&amp;T0</stp>
        <stp>DAT</stp>
        <stp>5</stp>
        <tr r="A8" s="1"/>
      </tp>
      <tp t="s">
        <v>25/08/2026 09:50:44.289</v>
        <stp/>
        <stp>T&amp;T0</stp>
        <stp>DAT</stp>
        <stp>2</stp>
        <tr r="A5" s="1"/>
      </tp>
      <tp t="s">
        <v>25/08/2026 09:50:44.289</v>
        <stp/>
        <stp>T&amp;T0</stp>
        <stp>DAT</stp>
        <stp>3</stp>
        <tr r="A6" s="1"/>
      </tp>
      <tp t="s">
        <v>25/08/2026 09:50:51.107</v>
        <stp/>
        <stp>T&amp;T0</stp>
        <stp>DAT</stp>
        <stp>0</stp>
        <tr r="A3" s="1"/>
      </tp>
      <tp t="s">
        <v>25/08/2026 09:50:49.799</v>
        <stp/>
        <stp>T&amp;T0</stp>
        <stp>DAT</stp>
        <stp>1</stp>
        <tr r="A4" s="1"/>
      </tp>
      <tp t="s">
        <v>XP</v>
        <stp/>
        <stp>T&amp;T0</stp>
        <stp>ACP</stp>
        <stp>9</stp>
        <tr r="B12" s="1"/>
      </tp>
      <tp t="s">
        <v>Santander</v>
        <stp/>
        <stp>T&amp;T0</stp>
        <stp>ACP</stp>
        <stp>8</stp>
        <tr r="B11" s="1"/>
      </tp>
      <tp t="s">
        <v>XP</v>
        <stp/>
        <stp>T&amp;T0</stp>
        <stp>ACP</stp>
        <stp>3</stp>
        <tr r="B6" s="1"/>
      </tp>
      <tp t="s">
        <v>XP</v>
        <stp/>
        <stp>T&amp;T0</stp>
        <stp>ACP</stp>
        <stp>2</stp>
        <tr r="B5" s="1"/>
      </tp>
      <tp t="s">
        <v>Ideal</v>
        <stp/>
        <stp>T&amp;T0</stp>
        <stp>ACP</stp>
        <stp>1</stp>
        <tr r="B4" s="1"/>
      </tp>
      <tp t="s">
        <v>XP</v>
        <stp/>
        <stp>T&amp;T0</stp>
        <stp>ACP</stp>
        <stp>0</stp>
        <tr r="B3" s="1"/>
      </tp>
      <tp t="s">
        <v>XP</v>
        <stp/>
        <stp>T&amp;T0</stp>
        <stp>ACP</stp>
        <stp>7</stp>
        <tr r="B10" s="1"/>
      </tp>
      <tp t="s">
        <v>Genial</v>
        <stp/>
        <stp>T&amp;T0</stp>
        <stp>ACP</stp>
        <stp>6</stp>
        <tr r="B9" s="1"/>
      </tp>
      <tp t="s">
        <v>BTG</v>
        <stp/>
        <stp>T&amp;T0</stp>
        <stp>ACP</stp>
        <stp>5</stp>
        <tr r="B8" s="1"/>
      </tp>
      <tp t="s">
        <v>XP</v>
        <stp/>
        <stp>T&amp;T0</stp>
        <stp>ACP</stp>
        <stp>4</stp>
        <tr r="B7" s="1"/>
      </tp>
      <tp t="s">
        <v>Vendedor</v>
        <stp/>
        <stp>T&amp;T0</stp>
        <stp>AGR</stp>
        <stp>9</stp>
        <tr r="F12" s="1"/>
      </tp>
      <tp t="s">
        <v>RLP</v>
        <stp/>
        <stp>T&amp;T0</stp>
        <stp>AGR</stp>
        <stp>8</stp>
        <tr r="F11" s="1"/>
      </tp>
      <tp t="s">
        <v>Comprador</v>
        <stp/>
        <stp>T&amp;T0</stp>
        <stp>AGR</stp>
        <stp>3</stp>
        <tr r="F6" s="1"/>
      </tp>
      <tp t="s">
        <v>Comprador</v>
        <stp/>
        <stp>T&amp;T0</stp>
        <stp>AGR</stp>
        <stp>2</stp>
        <tr r="F5" s="1"/>
      </tp>
      <tp t="s">
        <v>Comprador</v>
        <stp/>
        <stp>T&amp;T0</stp>
        <stp>AGR</stp>
        <stp>1</stp>
        <tr r="F4" s="1"/>
      </tp>
      <tp t="s">
        <v>Comprador</v>
        <stp/>
        <stp>T&amp;T0</stp>
        <stp>AGR</stp>
        <stp>0</stp>
        <tr r="F3" s="1"/>
      </tp>
      <tp t="s">
        <v>Vendedor</v>
        <stp/>
        <stp>T&amp;T0</stp>
        <stp>AGR</stp>
        <stp>7</stp>
        <tr r="F10" s="1"/>
      </tp>
      <tp t="s">
        <v>Vendedor</v>
        <stp/>
        <stp>T&amp;T0</stp>
        <stp>AGR</stp>
        <stp>6</stp>
        <tr r="F9" s="1"/>
      </tp>
      <tp t="s">
        <v>Comprador</v>
        <stp/>
        <stp>T&amp;T0</stp>
        <stp>AGR</stp>
        <stp>5</stp>
        <tr r="F8" s="1"/>
      </tp>
      <tp t="s">
        <v>Comprador</v>
        <stp/>
        <stp>T&amp;T0</stp>
        <stp>AGR</stp>
        <stp>4</stp>
        <tr r="F7" s="1"/>
      </tp>
      <tp t="s">
        <v>Genial</v>
        <stp/>
        <stp>T&amp;T0</stp>
        <stp>AVD</stp>
        <stp>9</stp>
        <tr r="E12" s="1"/>
      </tp>
      <tp t="s">
        <v>Santander</v>
        <stp/>
        <stp>T&amp;T0</stp>
        <stp>AVD</stp>
        <stp>8</stp>
        <tr r="E11" s="1"/>
      </tp>
      <tp t="s">
        <v>BTG</v>
        <stp/>
        <stp>T&amp;T0</stp>
        <stp>AVD</stp>
        <stp>3</stp>
        <tr r="E6" s="1"/>
      </tp>
      <tp t="s">
        <v>BTG</v>
        <stp/>
        <stp>T&amp;T0</stp>
        <stp>AVD</stp>
        <stp>2</stp>
        <tr r="E5" s="1"/>
      </tp>
      <tp t="s">
        <v>BTG</v>
        <stp/>
        <stp>T&amp;T0</stp>
        <stp>AVD</stp>
        <stp>1</stp>
        <tr r="E4" s="1"/>
      </tp>
      <tp t="s">
        <v>Genial</v>
        <stp/>
        <stp>T&amp;T0</stp>
        <stp>AVD</stp>
        <stp>0</stp>
        <tr r="E3" s="1"/>
      </tp>
      <tp t="s">
        <v>Santander</v>
        <stp/>
        <stp>T&amp;T0</stp>
        <stp>AVD</stp>
        <stp>7</stp>
        <tr r="E10" s="1"/>
      </tp>
      <tp t="s">
        <v>Santander</v>
        <stp/>
        <stp>T&amp;T0</stp>
        <stp>AVD</stp>
        <stp>6</stp>
        <tr r="E9" s="1"/>
      </tp>
      <tp t="s">
        <v>BTG</v>
        <stp/>
        <stp>T&amp;T0</stp>
        <stp>AVD</stp>
        <stp>5</stp>
        <tr r="E8" s="1"/>
      </tp>
      <tp t="s">
        <v>BTG</v>
        <stp/>
        <stp>T&amp;T0</stp>
        <stp>AVD</stp>
        <stp>4</stp>
        <tr r="E7" s="1"/>
      </tp>
      <tp>
        <v>174340</v>
        <stp/>
        <stp>T&amp;T0</stp>
        <stp>PRE</stp>
        <stp>8</stp>
        <tr r="C11" s="1"/>
      </tp>
      <tp>
        <v>174300</v>
        <stp/>
        <stp>T&amp;T0</stp>
        <stp>PRE</stp>
        <stp>9</stp>
        <tr r="C12" s="1"/>
      </tp>
      <tp>
        <v>174365</v>
        <stp/>
        <stp>T&amp;T0</stp>
        <stp>PRE</stp>
        <stp>2</stp>
        <tr r="C5" s="1"/>
      </tp>
      <tp>
        <v>174365</v>
        <stp/>
        <stp>T&amp;T0</stp>
        <stp>PRE</stp>
        <stp>3</stp>
        <tr r="C6" s="1"/>
      </tp>
      <tp>
        <v>174400</v>
        <stp/>
        <stp>T&amp;T0</stp>
        <stp>PRE</stp>
        <stp>0</stp>
        <tr r="C3" s="1"/>
      </tp>
      <tp>
        <v>174385</v>
        <stp/>
        <stp>T&amp;T0</stp>
        <stp>PRE</stp>
        <stp>1</stp>
        <tr r="C4" s="1"/>
      </tp>
      <tp>
        <v>174335</v>
        <stp/>
        <stp>T&amp;T0</stp>
        <stp>PRE</stp>
        <stp>6</stp>
        <tr r="C9" s="1"/>
      </tp>
      <tp>
        <v>174340</v>
        <stp/>
        <stp>T&amp;T0</stp>
        <stp>PRE</stp>
        <stp>7</stp>
        <tr r="C10" s="1"/>
      </tp>
      <tp>
        <v>174360</v>
        <stp/>
        <stp>T&amp;T0</stp>
        <stp>PRE</stp>
        <stp>4</stp>
        <tr r="C7" s="1"/>
      </tp>
      <tp>
        <v>174350</v>
        <stp/>
        <stp>T&amp;T0</stp>
        <stp>PRE</stp>
        <stp>5</stp>
        <tr r="C8" s="1"/>
      </tp>
      <tp>
        <v>65</v>
        <stp/>
        <stp>T&amp;T0</stp>
        <stp>QUL</stp>
        <stp>9</stp>
        <tr r="D12" s="1"/>
      </tp>
      <tp>
        <v>155</v>
        <stp/>
        <stp>T&amp;T0</stp>
        <stp>QUL</stp>
        <stp>8</stp>
        <tr r="D11" s="1"/>
      </tp>
      <tp>
        <v>50</v>
        <stp/>
        <stp>T&amp;T0</stp>
        <stp>QUL</stp>
        <stp>3</stp>
        <tr r="D6" s="1"/>
      </tp>
      <tp>
        <v>82</v>
        <stp/>
        <stp>T&amp;T0</stp>
        <stp>QUL</stp>
        <stp>2</stp>
        <tr r="D5" s="1"/>
      </tp>
      <tp>
        <v>50</v>
        <stp/>
        <stp>T&amp;T0</stp>
        <stp>QUL</stp>
        <stp>1</stp>
        <tr r="D4" s="1"/>
      </tp>
      <tp>
        <v>60</v>
        <stp/>
        <stp>T&amp;T0</stp>
        <stp>QUL</stp>
        <stp>0</stp>
        <tr r="D3" s="1"/>
      </tp>
      <tp>
        <v>50</v>
        <stp/>
        <stp>T&amp;T0</stp>
        <stp>QUL</stp>
        <stp>7</stp>
        <tr r="D10" s="1"/>
      </tp>
      <tp>
        <v>66</v>
        <stp/>
        <stp>T&amp;T0</stp>
        <stp>QUL</stp>
        <stp>6</stp>
        <tr r="D9" s="1"/>
      </tp>
      <tp>
        <v>61</v>
        <stp/>
        <stp>T&amp;T0</stp>
        <stp>QUL</stp>
        <stp>5</stp>
        <tr r="D8" s="1"/>
      </tp>
      <tp>
        <v>50</v>
        <stp/>
        <stp>T&amp;T0</stp>
        <stp>QUL</stp>
        <stp>4</stp>
        <tr r="D7" s="1"/>
      </tp>
      <tp t="s">
        <v>Negócios</v>
        <stp/>
        <stp>T&amp;T0</stp>
        <stp>INFO</stp>
        <stp>TAB</stp>
        <tr r="B1" s="1"/>
      </tp>
      <tp t="s">
        <v>WINV26</v>
        <stp/>
        <stp>T&amp;T0</stp>
        <stp>INFO</stp>
        <stp>ATV</stp>
        <tr r="A1" s="1"/>
      </tp>
      <tp>
        <v>50</v>
        <stp/>
        <stp>T&amp;T0</stp>
        <stp>QUL</stp>
        <stp>39</stp>
        <tr r="D42" s="1"/>
      </tp>
      <tp>
        <v>104</v>
        <stp/>
        <stp>T&amp;T0</stp>
        <stp>QUL</stp>
        <stp>38</stp>
        <tr r="D41" s="1"/>
      </tp>
      <tp>
        <v>174445</v>
        <stp/>
        <stp>T&amp;T0</stp>
        <stp>PRE</stp>
        <stp>28</stp>
        <tr r="C31" s="1"/>
      </tp>
      <tp>
        <v>174460</v>
        <stp/>
        <stp>T&amp;T0</stp>
        <stp>PRE</stp>
        <stp>29</stp>
        <tr r="C32" s="1"/>
      </tp>
      <tp>
        <v>174410</v>
        <stp/>
        <stp>T&amp;T0</stp>
        <stp>PRE</stp>
        <stp>26</stp>
        <tr r="C29" s="1"/>
      </tp>
      <tp>
        <v>50</v>
        <stp/>
        <stp>T&amp;T0</stp>
        <stp>QUL</stp>
        <stp>31</stp>
        <tr r="D34" s="1"/>
      </tp>
      <tp>
        <v>174405</v>
        <stp/>
        <stp>T&amp;T0</stp>
        <stp>PRE</stp>
        <stp>27</stp>
        <tr r="C30" s="1"/>
      </tp>
      <tp>
        <v>50</v>
        <stp/>
        <stp>T&amp;T0</stp>
        <stp>QUL</stp>
        <stp>30</stp>
        <tr r="D33" s="1"/>
      </tp>
      <tp>
        <v>174415</v>
        <stp/>
        <stp>T&amp;T0</stp>
        <stp>PRE</stp>
        <stp>24</stp>
        <tr r="C27" s="1"/>
      </tp>
      <tp>
        <v>55</v>
        <stp/>
        <stp>T&amp;T0</stp>
        <stp>QUL</stp>
        <stp>33</stp>
        <tr r="D36" s="1"/>
      </tp>
      <tp>
        <v>174415</v>
        <stp/>
        <stp>T&amp;T0</stp>
        <stp>PRE</stp>
        <stp>25</stp>
        <tr r="C28" s="1"/>
      </tp>
      <tp>
        <v>100</v>
        <stp/>
        <stp>T&amp;T0</stp>
        <stp>QUL</stp>
        <stp>32</stp>
        <tr r="D35" s="1"/>
      </tp>
      <tp>
        <v>174410</v>
        <stp/>
        <stp>T&amp;T0</stp>
        <stp>PRE</stp>
        <stp>22</stp>
        <tr r="C25" s="1"/>
      </tp>
      <tp>
        <v>50</v>
        <stp/>
        <stp>T&amp;T0</stp>
        <stp>QUL</stp>
        <stp>35</stp>
        <tr r="D38" s="1"/>
      </tp>
      <tp>
        <v>174430</v>
        <stp/>
        <stp>T&amp;T0</stp>
        <stp>PRE</stp>
        <stp>23</stp>
        <tr r="C26" s="1"/>
      </tp>
      <tp>
        <v>63</v>
        <stp/>
        <stp>T&amp;T0</stp>
        <stp>QUL</stp>
        <stp>34</stp>
        <tr r="D37" s="1"/>
      </tp>
      <tp>
        <v>174375</v>
        <stp/>
        <stp>T&amp;T0</stp>
        <stp>PRE</stp>
        <stp>20</stp>
        <tr r="C23" s="1"/>
      </tp>
      <tp>
        <v>63</v>
        <stp/>
        <stp>T&amp;T0</stp>
        <stp>QUL</stp>
        <stp>37</stp>
        <tr r="D40" s="1"/>
      </tp>
      <tp>
        <v>174390</v>
        <stp/>
        <stp>T&amp;T0</stp>
        <stp>PRE</stp>
        <stp>21</stp>
        <tr r="C24" s="1"/>
      </tp>
      <tp>
        <v>55</v>
        <stp/>
        <stp>T&amp;T0</stp>
        <stp>QUL</stp>
        <stp>36</stp>
        <tr r="D39" s="1"/>
      </tp>
      <tp>
        <v>50</v>
        <stp/>
        <stp>T&amp;T0</stp>
        <stp>QUL</stp>
        <stp>29</stp>
        <tr r="D32" s="1"/>
      </tp>
      <tp>
        <v>50</v>
        <stp/>
        <stp>T&amp;T0</stp>
        <stp>QUL</stp>
        <stp>28</stp>
        <tr r="D31" s="1"/>
      </tp>
      <tp>
        <v>174395</v>
        <stp/>
        <stp>T&amp;T0</stp>
        <stp>PRE</stp>
        <stp>38</stp>
        <tr r="C41" s="1"/>
      </tp>
      <tp>
        <v>174395</v>
        <stp/>
        <stp>T&amp;T0</stp>
        <stp>PRE</stp>
        <stp>39</stp>
        <tr r="C42" s="1"/>
      </tp>
      <tp>
        <v>174395</v>
        <stp/>
        <stp>T&amp;T0</stp>
        <stp>PRE</stp>
        <stp>36</stp>
        <tr r="C39" s="1"/>
      </tp>
      <tp>
        <v>58</v>
        <stp/>
        <stp>T&amp;T0</stp>
        <stp>QUL</stp>
        <stp>21</stp>
        <tr r="D24" s="1"/>
      </tp>
      <tp>
        <v>174390</v>
        <stp/>
        <stp>T&amp;T0</stp>
        <stp>PRE</stp>
        <stp>37</stp>
        <tr r="C40" s="1"/>
      </tp>
      <tp>
        <v>57</v>
        <stp/>
        <stp>T&amp;T0</stp>
        <stp>QUL</stp>
        <stp>20</stp>
        <tr r="D23" s="1"/>
      </tp>
      <tp>
        <v>174390</v>
        <stp/>
        <stp>T&amp;T0</stp>
        <stp>PRE</stp>
        <stp>34</stp>
        <tr r="C37" s="1"/>
      </tp>
      <tp>
        <v>67</v>
        <stp/>
        <stp>T&amp;T0</stp>
        <stp>QUL</stp>
        <stp>23</stp>
        <tr r="D26" s="1"/>
      </tp>
      <tp>
        <v>174385</v>
        <stp/>
        <stp>T&amp;T0</stp>
        <stp>PRE</stp>
        <stp>35</stp>
        <tr r="C38" s="1"/>
      </tp>
      <tp>
        <v>59</v>
        <stp/>
        <stp>T&amp;T0</stp>
        <stp>QUL</stp>
        <stp>22</stp>
        <tr r="D25" s="1"/>
      </tp>
      <tp>
        <v>174440</v>
        <stp/>
        <stp>T&amp;T0</stp>
        <stp>PRE</stp>
        <stp>32</stp>
        <tr r="C35" s="1"/>
      </tp>
      <tp>
        <v>52</v>
        <stp/>
        <stp>T&amp;T0</stp>
        <stp>QUL</stp>
        <stp>25</stp>
        <tr r="D28" s="1"/>
      </tp>
      <tp>
        <v>174395</v>
        <stp/>
        <stp>T&amp;T0</stp>
        <stp>PRE</stp>
        <stp>33</stp>
        <tr r="C36" s="1"/>
      </tp>
      <tp>
        <v>50</v>
        <stp/>
        <stp>T&amp;T0</stp>
        <stp>QUL</stp>
        <stp>24</stp>
        <tr r="D27" s="1"/>
      </tp>
      <tp>
        <v>174460</v>
        <stp/>
        <stp>T&amp;T0</stp>
        <stp>PRE</stp>
        <stp>30</stp>
        <tr r="C33" s="1"/>
      </tp>
      <tp>
        <v>59</v>
        <stp/>
        <stp>T&amp;T0</stp>
        <stp>QUL</stp>
        <stp>27</stp>
        <tr r="D30" s="1"/>
      </tp>
      <tp>
        <v>174450</v>
        <stp/>
        <stp>T&amp;T0</stp>
        <stp>PRE</stp>
        <stp>31</stp>
        <tr r="C34" s="1"/>
      </tp>
      <tp>
        <v>50</v>
        <stp/>
        <stp>T&amp;T0</stp>
        <stp>QUL</stp>
        <stp>26</stp>
        <tr r="D29" s="1"/>
      </tp>
      <tp>
        <v>50</v>
        <stp/>
        <stp>T&amp;T0</stp>
        <stp>QUL</stp>
        <stp>19</stp>
        <tr r="D22" s="1"/>
      </tp>
      <tp>
        <v>61</v>
        <stp/>
        <stp>T&amp;T0</stp>
        <stp>QUL</stp>
        <stp>18</stp>
        <tr r="D21" s="1"/>
      </tp>
      <tp>
        <v>135</v>
        <stp/>
        <stp>T&amp;T0</stp>
        <stp>QUL</stp>
        <stp>11</stp>
        <tr r="D14" s="1"/>
      </tp>
      <tp>
        <v>50</v>
        <stp/>
        <stp>T&amp;T0</stp>
        <stp>QUL</stp>
        <stp>10</stp>
        <tr r="D13" s="1"/>
      </tp>
      <tp>
        <v>65</v>
        <stp/>
        <stp>T&amp;T0</stp>
        <stp>QUL</stp>
        <stp>13</stp>
        <tr r="D16" s="1"/>
      </tp>
      <tp>
        <v>100</v>
        <stp/>
        <stp>T&amp;T0</stp>
        <stp>QUL</stp>
        <stp>12</stp>
        <tr r="D15" s="1"/>
      </tp>
      <tp>
        <v>65</v>
        <stp/>
        <stp>T&amp;T0</stp>
        <stp>QUL</stp>
        <stp>15</stp>
        <tr r="D18" s="1"/>
      </tp>
      <tp>
        <v>59</v>
        <stp/>
        <stp>T&amp;T0</stp>
        <stp>QUL</stp>
        <stp>14</stp>
        <tr r="D17" s="1"/>
      </tp>
      <tp>
        <v>59</v>
        <stp/>
        <stp>T&amp;T0</stp>
        <stp>QUL</stp>
        <stp>17</stp>
        <tr r="D20" s="1"/>
      </tp>
      <tp>
        <v>100</v>
        <stp/>
        <stp>T&amp;T0</stp>
        <stp>QUL</stp>
        <stp>16</stp>
        <tr r="D19" s="1"/>
      </tp>
      <tp>
        <v>174355</v>
        <stp/>
        <stp>T&amp;T0</stp>
        <stp>PRE</stp>
        <stp>18</stp>
        <tr r="C21" s="1"/>
      </tp>
      <tp>
        <v>174375</v>
        <stp/>
        <stp>T&amp;T0</stp>
        <stp>PRE</stp>
        <stp>19</stp>
        <tr r="C22" s="1"/>
      </tp>
      <tp>
        <v>174360</v>
        <stp/>
        <stp>T&amp;T0</stp>
        <stp>PRE</stp>
        <stp>16</stp>
        <tr r="C19" s="1"/>
      </tp>
      <tp>
        <v>174375</v>
        <stp/>
        <stp>T&amp;T0</stp>
        <stp>PRE</stp>
        <stp>17</stp>
        <tr r="C20" s="1"/>
      </tp>
      <tp>
        <v>174340</v>
        <stp/>
        <stp>T&amp;T0</stp>
        <stp>PRE</stp>
        <stp>14</stp>
        <tr r="C17" s="1"/>
      </tp>
      <tp>
        <v>174345</v>
        <stp/>
        <stp>T&amp;T0</stp>
        <stp>PRE</stp>
        <stp>15</stp>
        <tr r="C18" s="1"/>
      </tp>
      <tp>
        <v>174300</v>
        <stp/>
        <stp>T&amp;T0</stp>
        <stp>PRE</stp>
        <stp>12</stp>
        <tr r="C15" s="1"/>
      </tp>
      <tp>
        <v>174325</v>
        <stp/>
        <stp>T&amp;T0</stp>
        <stp>PRE</stp>
        <stp>13</stp>
        <tr r="C16" s="1"/>
      </tp>
      <tp>
        <v>174300</v>
        <stp/>
        <stp>T&amp;T0</stp>
        <stp>PRE</stp>
        <stp>10</stp>
        <tr r="C13" s="1"/>
      </tp>
      <tp>
        <v>174300</v>
        <stp/>
        <stp>T&amp;T0</stp>
        <stp>PRE</stp>
        <stp>11</stp>
        <tr r="C14" s="1"/>
      </tp>
      <tp>
        <v>174350</v>
        <stp/>
        <stp>T&amp;T0</stp>
        <stp>PRE</stp>
        <stp>48</stp>
        <tr r="C51" s="1"/>
      </tp>
      <tp>
        <v>174355</v>
        <stp/>
        <stp>T&amp;T0</stp>
        <stp>PRE</stp>
        <stp>49</stp>
        <tr r="C52" s="1"/>
      </tp>
      <tp>
        <v>174360</v>
        <stp/>
        <stp>T&amp;T0</stp>
        <stp>PRE</stp>
        <stp>46</stp>
        <tr r="C49" s="1"/>
      </tp>
      <tp>
        <v>174350</v>
        <stp/>
        <stp>T&amp;T0</stp>
        <stp>PRE</stp>
        <stp>47</stp>
        <tr r="C50" s="1"/>
      </tp>
      <tp>
        <v>174345</v>
        <stp/>
        <stp>T&amp;T0</stp>
        <stp>PRE</stp>
        <stp>44</stp>
        <tr r="C47" s="1"/>
      </tp>
      <tp>
        <v>174355</v>
        <stp/>
        <stp>T&amp;T0</stp>
        <stp>PRE</stp>
        <stp>45</stp>
        <tr r="C48" s="1"/>
      </tp>
      <tp>
        <v>174335</v>
        <stp/>
        <stp>T&amp;T0</stp>
        <stp>PRE</stp>
        <stp>42</stp>
        <tr r="C45" s="1"/>
      </tp>
      <tp>
        <v>174340</v>
        <stp/>
        <stp>T&amp;T0</stp>
        <stp>PRE</stp>
        <stp>43</stp>
        <tr r="C46" s="1"/>
      </tp>
      <tp>
        <v>174385</v>
        <stp/>
        <stp>T&amp;T0</stp>
        <stp>PRE</stp>
        <stp>40</stp>
        <tr r="C43" s="1"/>
      </tp>
      <tp>
        <v>174380</v>
        <stp/>
        <stp>T&amp;T0</stp>
        <stp>PRE</stp>
        <stp>41</stp>
        <tr r="C44" s="1"/>
      </tp>
      <tp>
        <v>63</v>
        <stp/>
        <stp>T&amp;T0</stp>
        <stp>QUL</stp>
        <stp>49</stp>
        <tr r="D52" s="1"/>
      </tp>
      <tp>
        <v>50</v>
        <stp/>
        <stp>T&amp;T0</stp>
        <stp>QUL</stp>
        <stp>48</stp>
        <tr r="D51" s="1"/>
      </tp>
      <tp>
        <v>64</v>
        <stp/>
        <stp>T&amp;T0</stp>
        <stp>QUL</stp>
        <stp>41</stp>
        <tr r="D44" s="1"/>
      </tp>
      <tp>
        <v>50</v>
        <stp/>
        <stp>T&amp;T0</stp>
        <stp>QUL</stp>
        <stp>40</stp>
        <tr r="D43" s="1"/>
      </tp>
      <tp>
        <v>66</v>
        <stp/>
        <stp>T&amp;T0</stp>
        <stp>QUL</stp>
        <stp>43</stp>
        <tr r="D46" s="1"/>
      </tp>
      <tp>
        <v>50</v>
        <stp/>
        <stp>T&amp;T0</stp>
        <stp>QUL</stp>
        <stp>42</stp>
        <tr r="D45" s="1"/>
      </tp>
      <tp>
        <v>63</v>
        <stp/>
        <stp>T&amp;T0</stp>
        <stp>QUL</stp>
        <stp>45</stp>
        <tr r="D48" s="1"/>
      </tp>
      <tp>
        <v>72</v>
        <stp/>
        <stp>T&amp;T0</stp>
        <stp>QUL</stp>
        <stp>44</stp>
        <tr r="D47" s="1"/>
      </tp>
      <tp>
        <v>50</v>
        <stp/>
        <stp>T&amp;T0</stp>
        <stp>QUL</stp>
        <stp>47</stp>
        <tr r="D50" s="1"/>
      </tp>
      <tp>
        <v>398</v>
        <stp/>
        <stp>T&amp;T0</stp>
        <stp>QUL</stp>
        <stp>46</stp>
        <tr r="D49" s="1"/>
      </tp>
      <tp t="s">
        <v>RLP</v>
        <stp/>
        <stp>T&amp;T0</stp>
        <stp>AGR</stp>
        <stp>39</stp>
        <tr r="F42" s="1"/>
      </tp>
      <tp t="s">
        <v>RLP</v>
        <stp/>
        <stp>T&amp;T0</stp>
        <stp>AGR</stp>
        <stp>38</stp>
        <tr r="F41" s="1"/>
      </tp>
      <tp t="s">
        <v>Genial</v>
        <stp/>
        <stp>T&amp;T0</stp>
        <stp>ACP</stp>
        <stp>39</stp>
        <tr r="B42" s="1"/>
      </tp>
      <tp t="s">
        <v>Santander</v>
        <stp/>
        <stp>T&amp;T0</stp>
        <stp>ACP</stp>
        <stp>38</stp>
        <tr r="B41" s="1"/>
      </tp>
      <tp t="s">
        <v>Itau</v>
        <stp/>
        <stp>T&amp;T0</stp>
        <stp>ACP</stp>
        <stp>37</stp>
        <tr r="B40" s="1"/>
      </tp>
      <tp t="s">
        <v>Comprador</v>
        <stp/>
        <stp>T&amp;T0</stp>
        <stp>AGR</stp>
        <stp>33</stp>
        <tr r="F36" s="1"/>
      </tp>
      <tp t="s">
        <v>Itau</v>
        <stp/>
        <stp>T&amp;T0</stp>
        <stp>ACP</stp>
        <stp>36</stp>
        <tr r="B39" s="1"/>
      </tp>
      <tp t="s">
        <v>RLP</v>
        <stp/>
        <stp>T&amp;T0</stp>
        <stp>AGR</stp>
        <stp>32</stp>
        <tr r="F35" s="1"/>
      </tp>
      <tp t="s">
        <v>Santander</v>
        <stp/>
        <stp>T&amp;T0</stp>
        <stp>ACP</stp>
        <stp>35</stp>
        <tr r="B38" s="1"/>
      </tp>
      <tp t="s">
        <v>Comprador</v>
        <stp/>
        <stp>T&amp;T0</stp>
        <stp>AGR</stp>
        <stp>31</stp>
        <tr r="F34" s="1"/>
      </tp>
      <tp t="s">
        <v>XP</v>
        <stp/>
        <stp>T&amp;T0</stp>
        <stp>ACP</stp>
        <stp>34</stp>
        <tr r="B37" s="1"/>
      </tp>
      <tp t="s">
        <v>Comprador</v>
        <stp/>
        <stp>T&amp;T0</stp>
        <stp>AGR</stp>
        <stp>30</stp>
        <tr r="F33" s="1"/>
      </tp>
      <tp t="s">
        <v>BTG</v>
        <stp/>
        <stp>T&amp;T0</stp>
        <stp>ACP</stp>
        <stp>33</stp>
        <tr r="B36" s="1"/>
      </tp>
      <tp t="s">
        <v>Comprador</v>
        <stp/>
        <stp>T&amp;T0</stp>
        <stp>AGR</stp>
        <stp>37</stp>
        <tr r="F40" s="1"/>
      </tp>
      <tp t="s">
        <v>Itau</v>
        <stp/>
        <stp>T&amp;T0</stp>
        <stp>ACP</stp>
        <stp>32</stp>
        <tr r="B35" s="1"/>
      </tp>
      <tp t="s">
        <v>Comprador</v>
        <stp/>
        <stp>T&amp;T0</stp>
        <stp>AGR</stp>
        <stp>36</stp>
        <tr r="F39" s="1"/>
      </tp>
      <tp t="s">
        <v>XP</v>
        <stp/>
        <stp>T&amp;T0</stp>
        <stp>ACP</stp>
        <stp>31</stp>
        <tr r="B34" s="1"/>
      </tp>
      <tp t="s">
        <v>RLP</v>
        <stp/>
        <stp>T&amp;T0</stp>
        <stp>AGR</stp>
        <stp>35</stp>
        <tr r="F38" s="1"/>
      </tp>
      <tp t="s">
        <v>XP</v>
        <stp/>
        <stp>T&amp;T0</stp>
        <stp>ACP</stp>
        <stp>30</stp>
        <tr r="B33" s="1"/>
      </tp>
      <tp t="s">
        <v>Comprador</v>
        <stp/>
        <stp>T&amp;T0</stp>
        <stp>AGR</stp>
        <stp>34</stp>
        <tr r="F37" s="1"/>
      </tp>
      <tp t="s">
        <v>Santander</v>
        <stp/>
        <stp>T&amp;T0</stp>
        <stp>AVD</stp>
        <stp>38</stp>
        <tr r="E41" s="1"/>
      </tp>
      <tp t="s">
        <v>Genial</v>
        <stp/>
        <stp>T&amp;T0</stp>
        <stp>AVD</stp>
        <stp>39</stp>
        <tr r="E42" s="1"/>
      </tp>
      <tp t="s">
        <v>Itau</v>
        <stp/>
        <stp>T&amp;T0</stp>
        <stp>AVD</stp>
        <stp>32</stp>
        <tr r="E35" s="1"/>
      </tp>
      <tp t="s">
        <v>Genial</v>
        <stp/>
        <stp>T&amp;T0</stp>
        <stp>AVD</stp>
        <stp>33</stp>
        <tr r="E36" s="1"/>
      </tp>
      <tp t="s">
        <v>Genial</v>
        <stp/>
        <stp>T&amp;T0</stp>
        <stp>AVD</stp>
        <stp>30</stp>
        <tr r="E33" s="1"/>
      </tp>
      <tp t="s">
        <v>XP</v>
        <stp/>
        <stp>T&amp;T0</stp>
        <stp>AVD</stp>
        <stp>31</stp>
        <tr r="E34" s="1"/>
      </tp>
      <tp t="s">
        <v>Genial</v>
        <stp/>
        <stp>T&amp;T0</stp>
        <stp>AVD</stp>
        <stp>36</stp>
        <tr r="E39" s="1"/>
      </tp>
      <tp t="s">
        <v>Genial</v>
        <stp/>
        <stp>T&amp;T0</stp>
        <stp>AVD</stp>
        <stp>37</stp>
        <tr r="E40" s="1"/>
      </tp>
      <tp t="s">
        <v>Genial</v>
        <stp/>
        <stp>T&amp;T0</stp>
        <stp>AVD</stp>
        <stp>34</stp>
        <tr r="E37" s="1"/>
      </tp>
      <tp t="s">
        <v>Santander</v>
        <stp/>
        <stp>T&amp;T0</stp>
        <stp>AVD</stp>
        <stp>35</stp>
        <tr r="E38" s="1"/>
      </tp>
      <tp t="s">
        <v>Comprador</v>
        <stp/>
        <stp>T&amp;T0</stp>
        <stp>AGR</stp>
        <stp>29</stp>
        <tr r="F32" s="1"/>
      </tp>
      <tp t="s">
        <v>RLP</v>
        <stp/>
        <stp>T&amp;T0</stp>
        <stp>AGR</stp>
        <stp>28</stp>
        <tr r="F31" s="1"/>
      </tp>
      <tp t="s">
        <v>XP</v>
        <stp/>
        <stp>T&amp;T0</stp>
        <stp>ACP</stp>
        <stp>29</stp>
        <tr r="B32" s="1"/>
      </tp>
      <tp t="s">
        <v>Genial</v>
        <stp/>
        <stp>T&amp;T0</stp>
        <stp>ACP</stp>
        <stp>28</stp>
        <tr r="B31" s="1"/>
      </tp>
      <tp t="s">
        <v>XP</v>
        <stp/>
        <stp>T&amp;T0</stp>
        <stp>ACP</stp>
        <stp>27</stp>
        <tr r="B30" s="1"/>
      </tp>
      <tp t="s">
        <v>RLP</v>
        <stp/>
        <stp>T&amp;T0</stp>
        <stp>AGR</stp>
        <stp>23</stp>
        <tr r="F26" s="1"/>
      </tp>
      <tp t="s">
        <v>XP</v>
        <stp/>
        <stp>T&amp;T0</stp>
        <stp>ACP</stp>
        <stp>26</stp>
        <tr r="B29" s="1"/>
      </tp>
      <tp t="s">
        <v>Vendedor</v>
        <stp/>
        <stp>T&amp;T0</stp>
        <stp>AGR</stp>
        <stp>22</stp>
        <tr r="F25" s="1"/>
      </tp>
      <tp t="s">
        <v>XP</v>
        <stp/>
        <stp>T&amp;T0</stp>
        <stp>ACP</stp>
        <stp>25</stp>
        <tr r="B28" s="1"/>
      </tp>
      <tp t="s">
        <v>RLP</v>
        <stp/>
        <stp>T&amp;T0</stp>
        <stp>AGR</stp>
        <stp>21</stp>
        <tr r="F24" s="1"/>
      </tp>
      <tp t="s">
        <v>Santander</v>
        <stp/>
        <stp>T&amp;T0</stp>
        <stp>ACP</stp>
        <stp>24</stp>
        <tr r="B27" s="1"/>
      </tp>
      <tp t="s">
        <v>Vendedor</v>
        <stp/>
        <stp>T&amp;T0</stp>
        <stp>AGR</stp>
        <stp>20</stp>
        <tr r="F23" s="1"/>
      </tp>
      <tp t="s">
        <v>Santander</v>
        <stp/>
        <stp>T&amp;T0</stp>
        <stp>ACP</stp>
        <stp>23</stp>
        <tr r="B26" s="1"/>
      </tp>
      <tp t="s">
        <v>Vendedor</v>
        <stp/>
        <stp>T&amp;T0</stp>
        <stp>AGR</stp>
        <stp>27</stp>
        <tr r="F30" s="1"/>
      </tp>
      <tp t="s">
        <v>Genial</v>
        <stp/>
        <stp>T&amp;T0</stp>
        <stp>ACP</stp>
        <stp>22</stp>
        <tr r="B25" s="1"/>
      </tp>
      <tp t="s">
        <v>Comprador</v>
        <stp/>
        <stp>T&amp;T0</stp>
        <stp>AGR</stp>
        <stp>26</stp>
        <tr r="F29" s="1"/>
      </tp>
      <tp t="s">
        <v>Genial</v>
        <stp/>
        <stp>T&amp;T0</stp>
        <stp>ACP</stp>
        <stp>21</stp>
        <tr r="B24" s="1"/>
      </tp>
      <tp t="s">
        <v>Comprador</v>
        <stp/>
        <stp>T&amp;T0</stp>
        <stp>AGR</stp>
        <stp>25</stp>
        <tr r="F28" s="1"/>
      </tp>
      <tp t="s">
        <v>Genial</v>
        <stp/>
        <stp>T&amp;T0</stp>
        <stp>ACP</stp>
        <stp>20</stp>
        <tr r="B23" s="1"/>
      </tp>
      <tp t="s">
        <v>RLP</v>
        <stp/>
        <stp>T&amp;T0</stp>
        <stp>AGR</stp>
        <stp>24</stp>
        <tr r="F27" s="1"/>
      </tp>
      <tp t="s">
        <v>Genial</v>
        <stp/>
        <stp>T&amp;T0</stp>
        <stp>AVD</stp>
        <stp>28</stp>
        <tr r="E31" s="1"/>
      </tp>
      <tp t="s">
        <v>BTG</v>
        <stp/>
        <stp>T&amp;T0</stp>
        <stp>AVD</stp>
        <stp>29</stp>
        <tr r="E32" s="1"/>
      </tp>
      <tp t="s">
        <v>UBS</v>
        <stp/>
        <stp>T&amp;T0</stp>
        <stp>AVD</stp>
        <stp>22</stp>
        <tr r="E25" s="1"/>
      </tp>
      <tp t="s">
        <v>Santander</v>
        <stp/>
        <stp>T&amp;T0</stp>
        <stp>AVD</stp>
        <stp>23</stp>
        <tr r="E26" s="1"/>
      </tp>
      <tp t="s">
        <v>XP</v>
        <stp/>
        <stp>T&amp;T0</stp>
        <stp>AVD</stp>
        <stp>20</stp>
        <tr r="E23" s="1"/>
      </tp>
      <tp t="s">
        <v>Genial</v>
        <stp/>
        <stp>T&amp;T0</stp>
        <stp>AVD</stp>
        <stp>21</stp>
        <tr r="E24" s="1"/>
      </tp>
      <tp t="s">
        <v>BTG</v>
        <stp/>
        <stp>T&amp;T0</stp>
        <stp>AVD</stp>
        <stp>26</stp>
        <tr r="E29" s="1"/>
      </tp>
      <tp t="s">
        <v>Ideal</v>
        <stp/>
        <stp>T&amp;T0</stp>
        <stp>AVD</stp>
        <stp>27</stp>
        <tr r="E30" s="1"/>
      </tp>
      <tp t="s">
        <v>Santander</v>
        <stp/>
        <stp>T&amp;T0</stp>
        <stp>AVD</stp>
        <stp>24</stp>
        <tr r="E27" s="1"/>
      </tp>
      <tp t="s">
        <v>Genial</v>
        <stp/>
        <stp>T&amp;T0</stp>
        <stp>AVD</stp>
        <stp>25</stp>
        <tr r="E28" s="1"/>
      </tp>
      <tp t="s">
        <v>RLP</v>
        <stp/>
        <stp>T&amp;T0</stp>
        <stp>AGR</stp>
        <stp>19</stp>
        <tr r="F22" s="1"/>
      </tp>
      <tp t="s">
        <v>Vendedor</v>
        <stp/>
        <stp>T&amp;T0</stp>
        <stp>AGR</stp>
        <stp>18</stp>
        <tr r="F21" s="1"/>
      </tp>
      <tp t="s">
        <v>25/08/2026 09:49:42.091</v>
        <stp/>
        <stp>T&amp;T0</stp>
        <stp>DAT</stp>
        <stp>49</stp>
        <tr r="A52" s="1"/>
      </tp>
      <tp t="s">
        <v>25/08/2026 09:49:42.091</v>
        <stp/>
        <stp>T&amp;T0</stp>
        <stp>DAT</stp>
        <stp>48</stp>
        <tr r="A51" s="1"/>
      </tp>
      <tp t="s">
        <v>Nova Futura</v>
        <stp/>
        <stp>T&amp;T0</stp>
        <stp>ACP</stp>
        <stp>19</stp>
        <tr r="B22" s="1"/>
      </tp>
      <tp t="s">
        <v>Itau</v>
        <stp/>
        <stp>T&amp;T0</stp>
        <stp>ACP</stp>
        <stp>18</stp>
        <tr r="B21" s="1"/>
      </tp>
      <tp t="s">
        <v>25/08/2026 09:49:49.173</v>
        <stp/>
        <stp>T&amp;T0</stp>
        <stp>DAT</stp>
        <stp>45</stp>
        <tr r="A48" s="1"/>
      </tp>
      <tp t="s">
        <v>Genial</v>
        <stp/>
        <stp>T&amp;T0</stp>
        <stp>ACP</stp>
        <stp>17</stp>
        <tr r="B20" s="1"/>
      </tp>
      <tp t="s">
        <v>Vendedor</v>
        <stp/>
        <stp>T&amp;T0</stp>
        <stp>AGR</stp>
        <stp>13</stp>
        <tr r="F16" s="1"/>
      </tp>
      <tp t="s">
        <v>25/08/2026 09:49:49.178</v>
        <stp/>
        <stp>T&amp;T0</stp>
        <stp>DAT</stp>
        <stp>44</stp>
        <tr r="A47" s="1"/>
      </tp>
      <tp t="s">
        <v>Santander</v>
        <stp/>
        <stp>T&amp;T0</stp>
        <stp>ACP</stp>
        <stp>16</stp>
        <tr r="B19" s="1"/>
      </tp>
      <tp t="s">
        <v>Vendedor</v>
        <stp/>
        <stp>T&amp;T0</stp>
        <stp>AGR</stp>
        <stp>12</stp>
        <tr r="F15" s="1"/>
      </tp>
      <tp t="s">
        <v>25/08/2026 09:49:42.091</v>
        <stp/>
        <stp>T&amp;T0</stp>
        <stp>DAT</stp>
        <stp>47</stp>
        <tr r="A50" s="1"/>
      </tp>
      <tp t="s">
        <v>Genial</v>
        <stp/>
        <stp>T&amp;T0</stp>
        <stp>ACP</stp>
        <stp>15</stp>
        <tr r="B18" s="1"/>
      </tp>
      <tp t="s">
        <v>Vendedor</v>
        <stp/>
        <stp>T&amp;T0</stp>
        <stp>AGR</stp>
        <stp>11</stp>
        <tr r="F14" s="1"/>
      </tp>
      <tp t="s">
        <v>25/08/2026 09:49:46.768</v>
        <stp/>
        <stp>T&amp;T0</stp>
        <stp>DAT</stp>
        <stp>46</stp>
        <tr r="A49" s="1"/>
      </tp>
      <tp t="s">
        <v>Genial</v>
        <stp/>
        <stp>T&amp;T0</stp>
        <stp>ACP</stp>
        <stp>14</stp>
        <tr r="B17" s="1"/>
      </tp>
      <tp t="s">
        <v>Vendedor</v>
        <stp/>
        <stp>T&amp;T0</stp>
        <stp>AGR</stp>
        <stp>10</stp>
        <tr r="F13" s="1"/>
      </tp>
      <tp t="s">
        <v>25/08/2026 09:49:50.646</v>
        <stp/>
        <stp>T&amp;T0</stp>
        <stp>DAT</stp>
        <stp>41</stp>
        <tr r="A44" s="1"/>
      </tp>
      <tp t="s">
        <v>BTG</v>
        <stp/>
        <stp>T&amp;T0</stp>
        <stp>ACP</stp>
        <stp>13</stp>
        <tr r="B16" s="1"/>
      </tp>
      <tp t="s">
        <v>Vendedor</v>
        <stp/>
        <stp>T&amp;T0</stp>
        <stp>AGR</stp>
        <stp>17</stp>
        <tr r="F20" s="1"/>
      </tp>
      <tp t="s">
        <v>25/08/2026 09:49:54.835</v>
        <stp/>
        <stp>T&amp;T0</stp>
        <stp>DAT</stp>
        <stp>40</stp>
        <tr r="A43" s="1"/>
      </tp>
      <tp t="s">
        <v>BTG</v>
        <stp/>
        <stp>T&amp;T0</stp>
        <stp>ACP</stp>
        <stp>12</stp>
        <tr r="B15" s="1"/>
      </tp>
      <tp t="s">
        <v>RLP</v>
        <stp/>
        <stp>T&amp;T0</stp>
        <stp>AGR</stp>
        <stp>16</stp>
        <tr r="F19" s="1"/>
      </tp>
      <tp t="s">
        <v>25/08/2026 09:49:49.178</v>
        <stp/>
        <stp>T&amp;T0</stp>
        <stp>DAT</stp>
        <stp>43</stp>
        <tr r="A46" s="1"/>
      </tp>
      <tp t="s">
        <v>BTG</v>
        <stp/>
        <stp>T&amp;T0</stp>
        <stp>ACP</stp>
        <stp>11</stp>
        <tr r="B14" s="1"/>
      </tp>
      <tp t="s">
        <v>Vendedor</v>
        <stp/>
        <stp>T&amp;T0</stp>
        <stp>AGR</stp>
        <stp>15</stp>
        <tr r="F18" s="1"/>
      </tp>
      <tp t="s">
        <v>25/08/2026 09:49:49.178</v>
        <stp/>
        <stp>T&amp;T0</stp>
        <stp>DAT</stp>
        <stp>42</stp>
        <tr r="A45" s="1"/>
      </tp>
      <tp t="s">
        <v>Necton</v>
        <stp/>
        <stp>T&amp;T0</stp>
        <stp>ACP</stp>
        <stp>10</stp>
        <tr r="B13" s="1"/>
      </tp>
      <tp t="s">
        <v>Vendedor</v>
        <stp/>
        <stp>T&amp;T0</stp>
        <stp>AGR</stp>
        <stp>14</stp>
        <tr r="F17" s="1"/>
      </tp>
      <tp t="s">
        <v>Ideal</v>
        <stp/>
        <stp>T&amp;T0</stp>
        <stp>AVD</stp>
        <stp>18</stp>
        <tr r="E21" s="1"/>
      </tp>
      <tp t="s">
        <v>Nova Futura</v>
        <stp/>
        <stp>T&amp;T0</stp>
        <stp>AVD</stp>
        <stp>19</stp>
        <tr r="E22" s="1"/>
      </tp>
      <tp t="s">
        <v>Genial</v>
        <stp/>
        <stp>T&amp;T0</stp>
        <stp>AVD</stp>
        <stp>12</stp>
        <tr r="E15" s="1"/>
      </tp>
      <tp t="s">
        <v>XP</v>
        <stp/>
        <stp>T&amp;T0</stp>
        <stp>AVD</stp>
        <stp>13</stp>
        <tr r="E16" s="1"/>
      </tp>
      <tp t="s">
        <v>Genial</v>
        <stp/>
        <stp>T&amp;T0</stp>
        <stp>AVD</stp>
        <stp>10</stp>
        <tr r="E13" s="1"/>
      </tp>
      <tp t="s">
        <v>Genial</v>
        <stp/>
        <stp>T&amp;T0</stp>
        <stp>AVD</stp>
        <stp>11</stp>
        <tr r="E14" s="1"/>
      </tp>
      <tp t="s">
        <v>Santander</v>
        <stp/>
        <stp>T&amp;T0</stp>
        <stp>AVD</stp>
        <stp>16</stp>
        <tr r="E19" s="1"/>
      </tp>
      <tp t="s">
        <v>UBS</v>
        <stp/>
        <stp>T&amp;T0</stp>
        <stp>AVD</stp>
        <stp>17</stp>
        <tr r="E20" s="1"/>
      </tp>
      <tp t="s">
        <v>BTG</v>
        <stp/>
        <stp>T&amp;T0</stp>
        <stp>AVD</stp>
        <stp>14</stp>
        <tr r="E17" s="1"/>
      </tp>
      <tp t="s">
        <v>BTG</v>
        <stp/>
        <stp>T&amp;T0</stp>
        <stp>AVD</stp>
        <stp>15</stp>
        <tr r="E18" s="1"/>
      </tp>
      <tp t="s">
        <v>25/08/2026 09:50:10.571</v>
        <stp/>
        <stp>T&amp;T0</stp>
        <stp>DAT</stp>
        <stp>29</stp>
        <tr r="A32" s="1"/>
      </tp>
      <tp t="s">
        <v>25/08/2026 09:50:10.676</v>
        <stp/>
        <stp>T&amp;T0</stp>
        <stp>DAT</stp>
        <stp>28</stp>
        <tr r="A31" s="1"/>
      </tp>
      <tp t="s">
        <v>25/08/2026 09:50:18.057</v>
        <stp/>
        <stp>T&amp;T0</stp>
        <stp>DAT</stp>
        <stp>25</stp>
        <tr r="A28" s="1"/>
      </tp>
      <tp t="s">
        <v>25/08/2026 09:50:26.404</v>
        <stp/>
        <stp>T&amp;T0</stp>
        <stp>DAT</stp>
        <stp>24</stp>
        <tr r="A27" s="1"/>
      </tp>
      <tp t="s">
        <v>25/08/2026 09:50:12.764</v>
        <stp/>
        <stp>T&amp;T0</stp>
        <stp>DAT</stp>
        <stp>27</stp>
        <tr r="A30" s="1"/>
      </tp>
      <tp t="s">
        <v>25/08/2026 09:50:18.057</v>
        <stp/>
        <stp>T&amp;T0</stp>
        <stp>DAT</stp>
        <stp>26</stp>
        <tr r="A29" s="1"/>
      </tp>
      <tp t="s">
        <v>25/08/2026 09:50:35.549</v>
        <stp/>
        <stp>T&amp;T0</stp>
        <stp>DAT</stp>
        <stp>21</stp>
        <tr r="A24" s="1"/>
      </tp>
      <tp t="s">
        <v>25/08/2026 09:50:36.770</v>
        <stp/>
        <stp>T&amp;T0</stp>
        <stp>DAT</stp>
        <stp>20</stp>
        <tr r="A23" s="1"/>
      </tp>
      <tp t="s">
        <v>25/08/2026 09:50:27.274</v>
        <stp/>
        <stp>T&amp;T0</stp>
        <stp>DAT</stp>
        <stp>23</stp>
        <tr r="A26" s="1"/>
      </tp>
      <tp t="s">
        <v>25/08/2026 09:50:34.229</v>
        <stp/>
        <stp>T&amp;T0</stp>
        <stp>DAT</stp>
        <stp>22</stp>
        <tr r="A25" s="1"/>
      </tp>
      <tp t="s">
        <v>25/08/2026 09:50:00.176</v>
        <stp/>
        <stp>T&amp;T0</stp>
        <stp>DAT</stp>
        <stp>39</stp>
        <tr r="A42" s="1"/>
      </tp>
      <tp t="s">
        <v>25/08/2026 09:50:00.261</v>
        <stp/>
        <stp>T&amp;T0</stp>
        <stp>DAT</stp>
        <stp>38</stp>
        <tr r="A41" s="1"/>
      </tp>
      <tp t="s">
        <v>25/08/2026 09:50:07.059</v>
        <stp/>
        <stp>T&amp;T0</stp>
        <stp>DAT</stp>
        <stp>35</stp>
        <tr r="A38" s="1"/>
      </tp>
      <tp t="s">
        <v>25/08/2026 09:50:08.004</v>
        <stp/>
        <stp>T&amp;T0</stp>
        <stp>DAT</stp>
        <stp>34</stp>
        <tr r="A37" s="1"/>
      </tp>
      <tp t="s">
        <v>25/08/2026 09:50:03.151</v>
        <stp/>
        <stp>T&amp;T0</stp>
        <stp>DAT</stp>
        <stp>37</stp>
        <tr r="A40" s="1"/>
      </tp>
      <tp t="s">
        <v>25/08/2026 09:50:03.151</v>
        <stp/>
        <stp>T&amp;T0</stp>
        <stp>DAT</stp>
        <stp>36</stp>
        <tr r="A39" s="1"/>
      </tp>
      <tp t="s">
        <v>25/08/2026 09:50:10.570</v>
        <stp/>
        <stp>T&amp;T0</stp>
        <stp>DAT</stp>
        <stp>31</stp>
        <tr r="A34" s="1"/>
      </tp>
      <tp t="s">
        <v>25/08/2026 09:50:10.571</v>
        <stp/>
        <stp>T&amp;T0</stp>
        <stp>DAT</stp>
        <stp>30</stp>
        <tr r="A33" s="1"/>
      </tp>
      <tp t="s">
        <v>25/08/2026 09:50:08.004</v>
        <stp/>
        <stp>T&amp;T0</stp>
        <stp>DAT</stp>
        <stp>33</stp>
        <tr r="A36" s="1"/>
      </tp>
      <tp t="s">
        <v>25/08/2026 09:50:10.311</v>
        <stp/>
        <stp>T&amp;T0</stp>
        <stp>DAT</stp>
        <stp>32</stp>
        <tr r="A35" s="1"/>
      </tp>
      <tp t="s">
        <v>Vendedor</v>
        <stp/>
        <stp>T&amp;T0</stp>
        <stp>AGR</stp>
        <stp>49</stp>
        <tr r="F52" s="1"/>
      </tp>
      <tp t="s">
        <v>Vendedor</v>
        <stp/>
        <stp>T&amp;T0</stp>
        <stp>AGR</stp>
        <stp>48</stp>
        <tr r="F51" s="1"/>
      </tp>
      <tp t="s">
        <v>25/08/2026 09:50:37.106</v>
        <stp/>
        <stp>T&amp;T0</stp>
        <stp>DAT</stp>
        <stp>19</stp>
        <tr r="A22" s="1"/>
      </tp>
      <tp t="s">
        <v>25/08/2026 09:50:37.120</v>
        <stp/>
        <stp>T&amp;T0</stp>
        <stp>DAT</stp>
        <stp>18</stp>
        <tr r="A21" s="1"/>
      </tp>
      <tp t="s">
        <v>Genial</v>
        <stp/>
        <stp>T&amp;T0</stp>
        <stp>ACP</stp>
        <stp>49</stp>
        <tr r="B52" s="1"/>
      </tp>
      <tp t="s">
        <v>BTG</v>
        <stp/>
        <stp>T&amp;T0</stp>
        <stp>ACP</stp>
        <stp>48</stp>
        <tr r="B51" s="1"/>
      </tp>
      <tp t="s">
        <v>25/08/2026 09:50:42.666</v>
        <stp/>
        <stp>T&amp;T0</stp>
        <stp>DAT</stp>
        <stp>15</stp>
        <tr r="A18" s="1"/>
      </tp>
      <tp t="s">
        <v>XP</v>
        <stp/>
        <stp>T&amp;T0</stp>
        <stp>ACP</stp>
        <stp>47</stp>
        <tr r="B50" s="1"/>
      </tp>
      <tp t="s">
        <v>Vendedor</v>
        <stp/>
        <stp>T&amp;T0</stp>
        <stp>AGR</stp>
        <stp>43</stp>
        <tr r="F46" s="1"/>
      </tp>
      <tp t="s">
        <v>25/08/2026 09:50:42.666</v>
        <stp/>
        <stp>T&amp;T0</stp>
        <stp>DAT</stp>
        <stp>14</stp>
        <tr r="A17" s="1"/>
      </tp>
      <tp t="s">
        <v>XP</v>
        <stp/>
        <stp>T&amp;T0</stp>
        <stp>ACP</stp>
        <stp>46</stp>
        <tr r="B49" s="1"/>
      </tp>
      <tp t="s">
        <v>Vendedor</v>
        <stp/>
        <stp>T&amp;T0</stp>
        <stp>AGR</stp>
        <stp>42</stp>
        <tr r="F45" s="1"/>
      </tp>
      <tp t="s">
        <v>25/08/2026 09:50:41.327</v>
        <stp/>
        <stp>T&amp;T0</stp>
        <stp>DAT</stp>
        <stp>17</stp>
        <tr r="A20" s="1"/>
      </tp>
      <tp t="s">
        <v>Genial</v>
        <stp/>
        <stp>T&amp;T0</stp>
        <stp>ACP</stp>
        <stp>45</stp>
        <tr r="B48" s="1"/>
      </tp>
      <tp t="s">
        <v>Comprador</v>
        <stp/>
        <stp>T&amp;T0</stp>
        <stp>AGR</stp>
        <stp>41</stp>
        <tr r="F44" s="1"/>
      </tp>
      <tp t="s">
        <v>25/08/2026 09:50:42.119</v>
        <stp/>
        <stp>T&amp;T0</stp>
        <stp>DAT</stp>
        <stp>16</stp>
        <tr r="A19" s="1"/>
      </tp>
      <tp t="s">
        <v>BTG</v>
        <stp/>
        <stp>T&amp;T0</stp>
        <stp>ACP</stp>
        <stp>44</stp>
        <tr r="B47" s="1"/>
      </tp>
      <tp t="s">
        <v>RLP</v>
        <stp/>
        <stp>T&amp;T0</stp>
        <stp>AGR</stp>
        <stp>40</stp>
        <tr r="F43" s="1"/>
      </tp>
      <tp t="s">
        <v>25/08/2026 09:50:42.666</v>
        <stp/>
        <stp>T&amp;T0</stp>
        <stp>DAT</stp>
        <stp>11</stp>
        <tr r="A14" s="1"/>
      </tp>
      <tp t="s">
        <v>Genial</v>
        <stp/>
        <stp>T&amp;T0</stp>
        <stp>ACP</stp>
        <stp>43</stp>
        <tr r="B46" s="1"/>
      </tp>
      <tp t="s">
        <v>Vendedor</v>
        <stp/>
        <stp>T&amp;T0</stp>
        <stp>AGR</stp>
        <stp>47</stp>
        <tr r="F50" s="1"/>
      </tp>
      <tp t="s">
        <v>25/08/2026 09:50:42.666</v>
        <stp/>
        <stp>T&amp;T0</stp>
        <stp>DAT</stp>
        <stp>10</stp>
        <tr r="A13" s="1"/>
      </tp>
      <tp t="s">
        <v>BTG</v>
        <stp/>
        <stp>T&amp;T0</stp>
        <stp>ACP</stp>
        <stp>42</stp>
        <tr r="B45" s="1"/>
      </tp>
      <tp t="s">
        <v>Vendedor</v>
        <stp/>
        <stp>T&amp;T0</stp>
        <stp>AGR</stp>
        <stp>46</stp>
        <tr r="F49" s="1"/>
      </tp>
      <tp t="s">
        <v>25/08/2026 09:50:42.666</v>
        <stp/>
        <stp>T&amp;T0</stp>
        <stp>DAT</stp>
        <stp>13</stp>
        <tr r="A16" s="1"/>
      </tp>
      <tp t="s">
        <v>BTG</v>
        <stp/>
        <stp>T&amp;T0</stp>
        <stp>ACP</stp>
        <stp>41</stp>
        <tr r="B44" s="1"/>
      </tp>
      <tp t="s">
        <v>Vendedor</v>
        <stp/>
        <stp>T&amp;T0</stp>
        <stp>AGR</stp>
        <stp>45</stp>
        <tr r="F48" s="1"/>
      </tp>
      <tp t="s">
        <v>25/08/2026 09:50:42.666</v>
        <stp/>
        <stp>T&amp;T0</stp>
        <stp>DAT</stp>
        <stp>12</stp>
        <tr r="A15" s="1"/>
      </tp>
      <tp t="s">
        <v>Elliot-Warren</v>
        <stp/>
        <stp>T&amp;T0</stp>
        <stp>ACP</stp>
        <stp>40</stp>
        <tr r="B43" s="1"/>
      </tp>
      <tp t="s">
        <v>Vendedor</v>
        <stp/>
        <stp>T&amp;T0</stp>
        <stp>AGR</stp>
        <stp>44</stp>
        <tr r="F47" s="1"/>
      </tp>
      <tp t="s">
        <v>BTG</v>
        <stp/>
        <stp>T&amp;T0</stp>
        <stp>AVD</stp>
        <stp>48</stp>
        <tr r="E51" s="1"/>
      </tp>
      <tp t="s">
        <v>BTG</v>
        <stp/>
        <stp>T&amp;T0</stp>
        <stp>AVD</stp>
        <stp>49</stp>
        <tr r="E52" s="1"/>
      </tp>
      <tp t="s">
        <v>Elliot-Warren</v>
        <stp/>
        <stp>T&amp;T0</stp>
        <stp>AVD</stp>
        <stp>42</stp>
        <tr r="E45" s="1"/>
      </tp>
      <tp t="s">
        <v>BTG</v>
        <stp/>
        <stp>T&amp;T0</stp>
        <stp>AVD</stp>
        <stp>43</stp>
        <tr r="E46" s="1"/>
      </tp>
      <tp t="s">
        <v>Elliot-Warren</v>
        <stp/>
        <stp>T&amp;T0</stp>
        <stp>AVD</stp>
        <stp>40</stp>
        <tr r="E43" s="1"/>
      </tp>
      <tp t="s">
        <v>Genial</v>
        <stp/>
        <stp>T&amp;T0</stp>
        <stp>AVD</stp>
        <stp>41</stp>
        <tr r="E44" s="1"/>
      </tp>
      <tp t="s">
        <v>UBS</v>
        <stp/>
        <stp>T&amp;T0</stp>
        <stp>AVD</stp>
        <stp>46</stp>
        <tr r="E49" s="1"/>
      </tp>
      <tp t="s">
        <v>BTG</v>
        <stp/>
        <stp>T&amp;T0</stp>
        <stp>AVD</stp>
        <stp>47</stp>
        <tr r="E50" s="1"/>
      </tp>
      <tp t="s">
        <v>BTG</v>
        <stp/>
        <stp>T&amp;T0</stp>
        <stp>AVD</stp>
        <stp>44</stp>
        <tr r="E47" s="1"/>
      </tp>
      <tp t="s">
        <v>UBS</v>
        <stp/>
        <stp>T&amp;T0</stp>
        <stp>AVD</stp>
        <stp>45</stp>
        <tr r="E48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2EE2-66BD-473B-9836-D9CE2457361F}">
  <dimension ref="A1:H52"/>
  <sheetViews>
    <sheetView tabSelected="1" workbookViewId="0">
      <selection activeCell="B1" sqref="B1"/>
    </sheetView>
  </sheetViews>
  <sheetFormatPr defaultRowHeight="15" x14ac:dyDescent="0.25"/>
  <cols>
    <col min="1" max="1" width="22.28515625" customWidth="1"/>
    <col min="2" max="2" width="14.5703125" customWidth="1"/>
    <col min="4" max="4" width="16.140625" customWidth="1"/>
    <col min="5" max="5" width="12.28515625" customWidth="1"/>
    <col min="6" max="6" width="14.5703125" customWidth="1"/>
  </cols>
  <sheetData>
    <row r="1" spans="1:8" x14ac:dyDescent="0.25">
      <c r="A1" s="1" t="str">
        <f>RTD("rtdtrading.rtdserver",, "T&amp;T0", "INFO", "ATV")</f>
        <v>WINV26</v>
      </c>
      <c r="B1" s="1" t="str">
        <f>RTD("rtdtrading.rtdserver",, "T&amp;T0", "INFO", "TAB")</f>
        <v>Negócios</v>
      </c>
      <c r="C1" s="1"/>
      <c r="D1" s="1"/>
      <c r="E1" s="1"/>
      <c r="F1" s="1"/>
      <c r="G1" s="1"/>
      <c r="H1" s="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/>
    </row>
    <row r="3" spans="1:8" x14ac:dyDescent="0.25">
      <c r="A3" s="1" t="str">
        <f>RTD("rtdtrading.rtdserver",, "T&amp;T0", "DAT", 0)</f>
        <v>25/08/2026 09:50:51.107</v>
      </c>
      <c r="B3" s="1" t="str">
        <f>RTD("rtdtrading.rtdserver",, "T&amp;T0", "ACP", 0)</f>
        <v>XP</v>
      </c>
      <c r="C3" s="1">
        <f>RTD("rtdtrading.rtdserver",, "T&amp;T0", "PRE", 0)</f>
        <v>174400</v>
      </c>
      <c r="D3" s="1">
        <f>RTD("rtdtrading.rtdserver",, "T&amp;T0", "QUL", 0)</f>
        <v>60</v>
      </c>
      <c r="E3" s="1" t="str">
        <f>RTD("rtdtrading.rtdserver",, "T&amp;T0", "AVD", 0)</f>
        <v>Genial</v>
      </c>
      <c r="F3" s="1" t="str">
        <f>RTD("rtdtrading.rtdserver",, "T&amp;T0", "AGR", 0)</f>
        <v>Comprador</v>
      </c>
      <c r="G3" s="1"/>
      <c r="H3" s="1"/>
    </row>
    <row r="4" spans="1:8" x14ac:dyDescent="0.25">
      <c r="A4" s="1" t="str">
        <f>RTD("rtdtrading.rtdserver",, "T&amp;T0", "DAT", 1)</f>
        <v>25/08/2026 09:50:49.799</v>
      </c>
      <c r="B4" s="1" t="str">
        <f>RTD("rtdtrading.rtdserver",, "T&amp;T0", "ACP", 1)</f>
        <v>Ideal</v>
      </c>
      <c r="C4" s="1">
        <f>RTD("rtdtrading.rtdserver",, "T&amp;T0", "PRE", 1)</f>
        <v>174385</v>
      </c>
      <c r="D4" s="1">
        <f>RTD("rtdtrading.rtdserver",, "T&amp;T0", "QUL", 1)</f>
        <v>50</v>
      </c>
      <c r="E4" s="1" t="str">
        <f>RTD("rtdtrading.rtdserver",, "T&amp;T0", "AVD", 1)</f>
        <v>BTG</v>
      </c>
      <c r="F4" s="1" t="str">
        <f>RTD("rtdtrading.rtdserver",, "T&amp;T0", "AGR", 1)</f>
        <v>Comprador</v>
      </c>
      <c r="G4" s="1"/>
      <c r="H4" s="1"/>
    </row>
    <row r="5" spans="1:8" x14ac:dyDescent="0.25">
      <c r="A5" s="1" t="str">
        <f>RTD("rtdtrading.rtdserver",, "T&amp;T0", "DAT", 2)</f>
        <v>25/08/2026 09:50:44.289</v>
      </c>
      <c r="B5" s="1" t="str">
        <f>RTD("rtdtrading.rtdserver",, "T&amp;T0", "ACP", 2)</f>
        <v>XP</v>
      </c>
      <c r="C5" s="1">
        <f>RTD("rtdtrading.rtdserver",, "T&amp;T0", "PRE", 2)</f>
        <v>174365</v>
      </c>
      <c r="D5" s="1">
        <f>RTD("rtdtrading.rtdserver",, "T&amp;T0", "QUL", 2)</f>
        <v>82</v>
      </c>
      <c r="E5" s="1" t="str">
        <f>RTD("rtdtrading.rtdserver",, "T&amp;T0", "AVD", 2)</f>
        <v>BTG</v>
      </c>
      <c r="F5" s="1" t="str">
        <f>RTD("rtdtrading.rtdserver",, "T&amp;T0", "AGR", 2)</f>
        <v>Comprador</v>
      </c>
      <c r="G5" s="1"/>
      <c r="H5" s="1"/>
    </row>
    <row r="6" spans="1:8" x14ac:dyDescent="0.25">
      <c r="A6" s="1" t="str">
        <f>RTD("rtdtrading.rtdserver",, "T&amp;T0", "DAT", 3)</f>
        <v>25/08/2026 09:50:44.289</v>
      </c>
      <c r="B6" s="1" t="str">
        <f>RTD("rtdtrading.rtdserver",, "T&amp;T0", "ACP", 3)</f>
        <v>XP</v>
      </c>
      <c r="C6" s="1">
        <f>RTD("rtdtrading.rtdserver",, "T&amp;T0", "PRE", 3)</f>
        <v>174365</v>
      </c>
      <c r="D6" s="1">
        <f>RTD("rtdtrading.rtdserver",, "T&amp;T0", "QUL", 3)</f>
        <v>50</v>
      </c>
      <c r="E6" s="1" t="str">
        <f>RTD("rtdtrading.rtdserver",, "T&amp;T0", "AVD", 3)</f>
        <v>BTG</v>
      </c>
      <c r="F6" s="1" t="str">
        <f>RTD("rtdtrading.rtdserver",, "T&amp;T0", "AGR", 3)</f>
        <v>Comprador</v>
      </c>
      <c r="G6" s="1"/>
      <c r="H6" s="1"/>
    </row>
    <row r="7" spans="1:8" x14ac:dyDescent="0.25">
      <c r="A7" s="1" t="str">
        <f>RTD("rtdtrading.rtdserver",, "T&amp;T0", "DAT", 4)</f>
        <v>25/08/2026 09:50:44.289</v>
      </c>
      <c r="B7" s="1" t="str">
        <f>RTD("rtdtrading.rtdserver",, "T&amp;T0", "ACP", 4)</f>
        <v>XP</v>
      </c>
      <c r="C7" s="1">
        <f>RTD("rtdtrading.rtdserver",, "T&amp;T0", "PRE", 4)</f>
        <v>174360</v>
      </c>
      <c r="D7" s="1">
        <f>RTD("rtdtrading.rtdserver",, "T&amp;T0", "QUL", 4)</f>
        <v>50</v>
      </c>
      <c r="E7" s="1" t="str">
        <f>RTD("rtdtrading.rtdserver",, "T&amp;T0", "AVD", 4)</f>
        <v>BTG</v>
      </c>
      <c r="F7" s="1" t="str">
        <f>RTD("rtdtrading.rtdserver",, "T&amp;T0", "AGR", 4)</f>
        <v>Comprador</v>
      </c>
      <c r="G7" s="1"/>
      <c r="H7" s="1"/>
    </row>
    <row r="8" spans="1:8" x14ac:dyDescent="0.25">
      <c r="A8" s="1" t="str">
        <f>RTD("rtdtrading.rtdserver",, "T&amp;T0", "DAT", 5)</f>
        <v>25/08/2026 09:50:44.274</v>
      </c>
      <c r="B8" s="1" t="str">
        <f>RTD("rtdtrading.rtdserver",, "T&amp;T0", "ACP", 5)</f>
        <v>BTG</v>
      </c>
      <c r="C8" s="1">
        <f>RTD("rtdtrading.rtdserver",, "T&amp;T0", "PRE", 5)</f>
        <v>174350</v>
      </c>
      <c r="D8" s="1">
        <f>RTD("rtdtrading.rtdserver",, "T&amp;T0", "QUL", 5)</f>
        <v>61</v>
      </c>
      <c r="E8" s="1" t="str">
        <f>RTD("rtdtrading.rtdserver",, "T&amp;T0", "AVD", 5)</f>
        <v>BTG</v>
      </c>
      <c r="F8" s="1" t="str">
        <f>RTD("rtdtrading.rtdserver",, "T&amp;T0", "AGR", 5)</f>
        <v>Comprador</v>
      </c>
      <c r="G8" s="1"/>
      <c r="H8" s="1"/>
    </row>
    <row r="9" spans="1:8" x14ac:dyDescent="0.25">
      <c r="A9" s="1" t="str">
        <f>RTD("rtdtrading.rtdserver",, "T&amp;T0", "DAT", 6)</f>
        <v>25/08/2026 09:50:44.270</v>
      </c>
      <c r="B9" s="1" t="str">
        <f>RTD("rtdtrading.rtdserver",, "T&amp;T0", "ACP", 6)</f>
        <v>Genial</v>
      </c>
      <c r="C9" s="1">
        <f>RTD("rtdtrading.rtdserver",, "T&amp;T0", "PRE", 6)</f>
        <v>174335</v>
      </c>
      <c r="D9" s="1">
        <f>RTD("rtdtrading.rtdserver",, "T&amp;T0", "QUL", 6)</f>
        <v>66</v>
      </c>
      <c r="E9" s="1" t="str">
        <f>RTD("rtdtrading.rtdserver",, "T&amp;T0", "AVD", 6)</f>
        <v>Santander</v>
      </c>
      <c r="F9" s="1" t="str">
        <f>RTD("rtdtrading.rtdserver",, "T&amp;T0", "AGR", 6)</f>
        <v>Vendedor</v>
      </c>
      <c r="G9" s="1"/>
      <c r="H9" s="1"/>
    </row>
    <row r="10" spans="1:8" x14ac:dyDescent="0.25">
      <c r="A10" s="1" t="str">
        <f>RTD("rtdtrading.rtdserver",, "T&amp;T0", "DAT", 7)</f>
        <v>25/08/2026 09:50:44.270</v>
      </c>
      <c r="B10" s="1" t="str">
        <f>RTD("rtdtrading.rtdserver",, "T&amp;T0", "ACP", 7)</f>
        <v>XP</v>
      </c>
      <c r="C10" s="1">
        <f>RTD("rtdtrading.rtdserver",, "T&amp;T0", "PRE", 7)</f>
        <v>174340</v>
      </c>
      <c r="D10" s="1">
        <f>RTD("rtdtrading.rtdserver",, "T&amp;T0", "QUL", 7)</f>
        <v>50</v>
      </c>
      <c r="E10" s="1" t="str">
        <f>RTD("rtdtrading.rtdserver",, "T&amp;T0", "AVD", 7)</f>
        <v>Santander</v>
      </c>
      <c r="F10" s="1" t="str">
        <f>RTD("rtdtrading.rtdserver",, "T&amp;T0", "AGR", 7)</f>
        <v>Vendedor</v>
      </c>
      <c r="G10" s="1"/>
      <c r="H10" s="1"/>
    </row>
    <row r="11" spans="1:8" x14ac:dyDescent="0.25">
      <c r="A11" s="1" t="str">
        <f>RTD("rtdtrading.rtdserver",, "T&amp;T0", "DAT", 8)</f>
        <v>25/08/2026 09:50:44.270</v>
      </c>
      <c r="B11" s="1" t="str">
        <f>RTD("rtdtrading.rtdserver",, "T&amp;T0", "ACP", 8)</f>
        <v>Santander</v>
      </c>
      <c r="C11" s="1">
        <f>RTD("rtdtrading.rtdserver",, "T&amp;T0", "PRE", 8)</f>
        <v>174340</v>
      </c>
      <c r="D11" s="1">
        <f>RTD("rtdtrading.rtdserver",, "T&amp;T0", "QUL", 8)</f>
        <v>155</v>
      </c>
      <c r="E11" s="1" t="str">
        <f>RTD("rtdtrading.rtdserver",, "T&amp;T0", "AVD", 8)</f>
        <v>Santander</v>
      </c>
      <c r="F11" s="1" t="str">
        <f>RTD("rtdtrading.rtdserver",, "T&amp;T0", "AGR", 8)</f>
        <v>RLP</v>
      </c>
      <c r="G11" s="1"/>
      <c r="H11" s="1"/>
    </row>
    <row r="12" spans="1:8" x14ac:dyDescent="0.25">
      <c r="A12" s="1" t="str">
        <f>RTD("rtdtrading.rtdserver",, "T&amp;T0", "DAT", 9)</f>
        <v>25/08/2026 09:50:42.666</v>
      </c>
      <c r="B12" s="1" t="str">
        <f>RTD("rtdtrading.rtdserver",, "T&amp;T0", "ACP", 9)</f>
        <v>XP</v>
      </c>
      <c r="C12" s="1">
        <f>RTD("rtdtrading.rtdserver",, "T&amp;T0", "PRE", 9)</f>
        <v>174300</v>
      </c>
      <c r="D12" s="1">
        <f>RTD("rtdtrading.rtdserver",, "T&amp;T0", "QUL", 9)</f>
        <v>65</v>
      </c>
      <c r="E12" s="1" t="str">
        <f>RTD("rtdtrading.rtdserver",, "T&amp;T0", "AVD", 9)</f>
        <v>Genial</v>
      </c>
      <c r="F12" s="1" t="str">
        <f>RTD("rtdtrading.rtdserver",, "T&amp;T0", "AGR", 9)</f>
        <v>Vendedor</v>
      </c>
      <c r="G12" s="1"/>
      <c r="H12" s="1"/>
    </row>
    <row r="13" spans="1:8" x14ac:dyDescent="0.25">
      <c r="A13" s="1" t="str">
        <f>RTD("rtdtrading.rtdserver",, "T&amp;T0", "DAT", 10)</f>
        <v>25/08/2026 09:50:42.666</v>
      </c>
      <c r="B13" s="1" t="str">
        <f>RTD("rtdtrading.rtdserver",, "T&amp;T0", "ACP", 10)</f>
        <v>Necton</v>
      </c>
      <c r="C13" s="1">
        <f>RTD("rtdtrading.rtdserver",, "T&amp;T0", "PRE", 10)</f>
        <v>174300</v>
      </c>
      <c r="D13" s="1">
        <f>RTD("rtdtrading.rtdserver",, "T&amp;T0", "QUL", 10)</f>
        <v>50</v>
      </c>
      <c r="E13" s="1" t="str">
        <f>RTD("rtdtrading.rtdserver",, "T&amp;T0", "AVD", 10)</f>
        <v>Genial</v>
      </c>
      <c r="F13" s="1" t="str">
        <f>RTD("rtdtrading.rtdserver",, "T&amp;T0", "AGR", 10)</f>
        <v>Vendedor</v>
      </c>
      <c r="G13" s="1"/>
      <c r="H13" s="1"/>
    </row>
    <row r="14" spans="1:8" x14ac:dyDescent="0.25">
      <c r="A14" s="1" t="str">
        <f>RTD("rtdtrading.rtdserver",, "T&amp;T0", "DAT", 11)</f>
        <v>25/08/2026 09:50:42.666</v>
      </c>
      <c r="B14" s="1" t="str">
        <f>RTD("rtdtrading.rtdserver",, "T&amp;T0", "ACP", 11)</f>
        <v>BTG</v>
      </c>
      <c r="C14" s="1">
        <f>RTD("rtdtrading.rtdserver",, "T&amp;T0", "PRE", 11)</f>
        <v>174300</v>
      </c>
      <c r="D14" s="1">
        <f>RTD("rtdtrading.rtdserver",, "T&amp;T0", "QUL", 11)</f>
        <v>135</v>
      </c>
      <c r="E14" s="1" t="str">
        <f>RTD("rtdtrading.rtdserver",, "T&amp;T0", "AVD", 11)</f>
        <v>Genial</v>
      </c>
      <c r="F14" s="1" t="str">
        <f>RTD("rtdtrading.rtdserver",, "T&amp;T0", "AGR", 11)</f>
        <v>Vendedor</v>
      </c>
      <c r="G14" s="1"/>
      <c r="H14" s="1"/>
    </row>
    <row r="15" spans="1:8" x14ac:dyDescent="0.25">
      <c r="A15" s="1" t="str">
        <f>RTD("rtdtrading.rtdserver",, "T&amp;T0", "DAT", 12)</f>
        <v>25/08/2026 09:50:42.666</v>
      </c>
      <c r="B15" s="1" t="str">
        <f>RTD("rtdtrading.rtdserver",, "T&amp;T0", "ACP", 12)</f>
        <v>BTG</v>
      </c>
      <c r="C15" s="1">
        <f>RTD("rtdtrading.rtdserver",, "T&amp;T0", "PRE", 12)</f>
        <v>174300</v>
      </c>
      <c r="D15" s="1">
        <f>RTD("rtdtrading.rtdserver",, "T&amp;T0", "QUL", 12)</f>
        <v>100</v>
      </c>
      <c r="E15" s="1" t="str">
        <f>RTD("rtdtrading.rtdserver",, "T&amp;T0", "AVD", 12)</f>
        <v>Genial</v>
      </c>
      <c r="F15" s="1" t="str">
        <f>RTD("rtdtrading.rtdserver",, "T&amp;T0", "AGR", 12)</f>
        <v>Vendedor</v>
      </c>
      <c r="G15" s="1"/>
      <c r="H15" s="1"/>
    </row>
    <row r="16" spans="1:8" x14ac:dyDescent="0.25">
      <c r="A16" s="1" t="str">
        <f>RTD("rtdtrading.rtdserver",, "T&amp;T0", "DAT", 13)</f>
        <v>25/08/2026 09:50:42.666</v>
      </c>
      <c r="B16" s="1" t="str">
        <f>RTD("rtdtrading.rtdserver",, "T&amp;T0", "ACP", 13)</f>
        <v>BTG</v>
      </c>
      <c r="C16" s="1">
        <f>RTD("rtdtrading.rtdserver",, "T&amp;T0", "PRE", 13)</f>
        <v>174325</v>
      </c>
      <c r="D16" s="1">
        <f>RTD("rtdtrading.rtdserver",, "T&amp;T0", "QUL", 13)</f>
        <v>65</v>
      </c>
      <c r="E16" s="1" t="str">
        <f>RTD("rtdtrading.rtdserver",, "T&amp;T0", "AVD", 13)</f>
        <v>XP</v>
      </c>
      <c r="F16" s="1" t="str">
        <f>RTD("rtdtrading.rtdserver",, "T&amp;T0", "AGR", 13)</f>
        <v>Vendedor</v>
      </c>
      <c r="G16" s="1"/>
      <c r="H16" s="1"/>
    </row>
    <row r="17" spans="1:8" x14ac:dyDescent="0.25">
      <c r="A17" s="1" t="str">
        <f>RTD("rtdtrading.rtdserver",, "T&amp;T0", "DAT", 14)</f>
        <v>25/08/2026 09:50:42.666</v>
      </c>
      <c r="B17" s="1" t="str">
        <f>RTD("rtdtrading.rtdserver",, "T&amp;T0", "ACP", 14)</f>
        <v>Genial</v>
      </c>
      <c r="C17" s="1">
        <f>RTD("rtdtrading.rtdserver",, "T&amp;T0", "PRE", 14)</f>
        <v>174340</v>
      </c>
      <c r="D17" s="1">
        <f>RTD("rtdtrading.rtdserver",, "T&amp;T0", "QUL", 14)</f>
        <v>59</v>
      </c>
      <c r="E17" s="1" t="str">
        <f>RTD("rtdtrading.rtdserver",, "T&amp;T0", "AVD", 14)</f>
        <v>BTG</v>
      </c>
      <c r="F17" s="1" t="str">
        <f>RTD("rtdtrading.rtdserver",, "T&amp;T0", "AGR", 14)</f>
        <v>Vendedor</v>
      </c>
      <c r="G17" s="1"/>
      <c r="H17" s="1"/>
    </row>
    <row r="18" spans="1:8" x14ac:dyDescent="0.25">
      <c r="A18" s="1" t="str">
        <f>RTD("rtdtrading.rtdserver",, "T&amp;T0", "DAT", 15)</f>
        <v>25/08/2026 09:50:42.666</v>
      </c>
      <c r="B18" s="1" t="str">
        <f>RTD("rtdtrading.rtdserver",, "T&amp;T0", "ACP", 15)</f>
        <v>Genial</v>
      </c>
      <c r="C18" s="1">
        <f>RTD("rtdtrading.rtdserver",, "T&amp;T0", "PRE", 15)</f>
        <v>174345</v>
      </c>
      <c r="D18" s="1">
        <f>RTD("rtdtrading.rtdserver",, "T&amp;T0", "QUL", 15)</f>
        <v>65</v>
      </c>
      <c r="E18" s="1" t="str">
        <f>RTD("rtdtrading.rtdserver",, "T&amp;T0", "AVD", 15)</f>
        <v>BTG</v>
      </c>
      <c r="F18" s="1" t="str">
        <f>RTD("rtdtrading.rtdserver",, "T&amp;T0", "AGR", 15)</f>
        <v>Vendedor</v>
      </c>
      <c r="G18" s="1"/>
      <c r="H18" s="1"/>
    </row>
    <row r="19" spans="1:8" x14ac:dyDescent="0.25">
      <c r="A19" s="1" t="str">
        <f>RTD("rtdtrading.rtdserver",, "T&amp;T0", "DAT", 16)</f>
        <v>25/08/2026 09:50:42.119</v>
      </c>
      <c r="B19" s="1" t="str">
        <f>RTD("rtdtrading.rtdserver",, "T&amp;T0", "ACP", 16)</f>
        <v>Santander</v>
      </c>
      <c r="C19" s="1">
        <f>RTD("rtdtrading.rtdserver",, "T&amp;T0", "PRE", 16)</f>
        <v>174360</v>
      </c>
      <c r="D19" s="1">
        <f>RTD("rtdtrading.rtdserver",, "T&amp;T0", "QUL", 16)</f>
        <v>100</v>
      </c>
      <c r="E19" s="1" t="str">
        <f>RTD("rtdtrading.rtdserver",, "T&amp;T0", "AVD", 16)</f>
        <v>Santander</v>
      </c>
      <c r="F19" s="1" t="str">
        <f>RTD("rtdtrading.rtdserver",, "T&amp;T0", "AGR", 16)</f>
        <v>RLP</v>
      </c>
      <c r="G19" s="1"/>
      <c r="H19" s="1"/>
    </row>
    <row r="20" spans="1:8" x14ac:dyDescent="0.25">
      <c r="A20" s="1" t="str">
        <f>RTD("rtdtrading.rtdserver",, "T&amp;T0", "DAT", 17)</f>
        <v>25/08/2026 09:50:41.327</v>
      </c>
      <c r="B20" s="1" t="str">
        <f>RTD("rtdtrading.rtdserver",, "T&amp;T0", "ACP", 17)</f>
        <v>Genial</v>
      </c>
      <c r="C20" s="1">
        <f>RTD("rtdtrading.rtdserver",, "T&amp;T0", "PRE", 17)</f>
        <v>174375</v>
      </c>
      <c r="D20" s="1">
        <f>RTD("rtdtrading.rtdserver",, "T&amp;T0", "QUL", 17)</f>
        <v>59</v>
      </c>
      <c r="E20" s="1" t="str">
        <f>RTD("rtdtrading.rtdserver",, "T&amp;T0", "AVD", 17)</f>
        <v>UBS</v>
      </c>
      <c r="F20" s="1" t="str">
        <f>RTD("rtdtrading.rtdserver",, "T&amp;T0", "AGR", 17)</f>
        <v>Vendedor</v>
      </c>
      <c r="G20" s="1"/>
      <c r="H20" s="1"/>
    </row>
    <row r="21" spans="1:8" x14ac:dyDescent="0.25">
      <c r="A21" s="1" t="str">
        <f>RTD("rtdtrading.rtdserver",, "T&amp;T0", "DAT", 18)</f>
        <v>25/08/2026 09:50:37.120</v>
      </c>
      <c r="B21" s="1" t="str">
        <f>RTD("rtdtrading.rtdserver",, "T&amp;T0", "ACP", 18)</f>
        <v>Itau</v>
      </c>
      <c r="C21" s="1">
        <f>RTD("rtdtrading.rtdserver",, "T&amp;T0", "PRE", 18)</f>
        <v>174355</v>
      </c>
      <c r="D21" s="1">
        <f>RTD("rtdtrading.rtdserver",, "T&amp;T0", "QUL", 18)</f>
        <v>61</v>
      </c>
      <c r="E21" s="1" t="str">
        <f>RTD("rtdtrading.rtdserver",, "T&amp;T0", "AVD", 18)</f>
        <v>Ideal</v>
      </c>
      <c r="F21" s="1" t="str">
        <f>RTD("rtdtrading.rtdserver",, "T&amp;T0", "AGR", 18)</f>
        <v>Vendedor</v>
      </c>
      <c r="G21" s="1"/>
      <c r="H21" s="1"/>
    </row>
    <row r="22" spans="1:8" x14ac:dyDescent="0.25">
      <c r="A22" s="1" t="str">
        <f>RTD("rtdtrading.rtdserver",, "T&amp;T0", "DAT", 19)</f>
        <v>25/08/2026 09:50:37.106</v>
      </c>
      <c r="B22" s="1" t="str">
        <f>RTD("rtdtrading.rtdserver",, "T&amp;T0", "ACP", 19)</f>
        <v>Nova Futura</v>
      </c>
      <c r="C22" s="1">
        <f>RTD("rtdtrading.rtdserver",, "T&amp;T0", "PRE", 19)</f>
        <v>174375</v>
      </c>
      <c r="D22" s="1">
        <f>RTD("rtdtrading.rtdserver",, "T&amp;T0", "QUL", 19)</f>
        <v>50</v>
      </c>
      <c r="E22" s="1" t="str">
        <f>RTD("rtdtrading.rtdserver",, "T&amp;T0", "AVD", 19)</f>
        <v>Nova Futura</v>
      </c>
      <c r="F22" s="1" t="str">
        <f>RTD("rtdtrading.rtdserver",, "T&amp;T0", "AGR", 19)</f>
        <v>RLP</v>
      </c>
      <c r="G22" s="1"/>
      <c r="H22" s="1"/>
    </row>
    <row r="23" spans="1:8" x14ac:dyDescent="0.25">
      <c r="A23" s="1" t="str">
        <f>RTD("rtdtrading.rtdserver",, "T&amp;T0", "DAT", 20)</f>
        <v>25/08/2026 09:50:36.770</v>
      </c>
      <c r="B23" s="1" t="str">
        <f>RTD("rtdtrading.rtdserver",, "T&amp;T0", "ACP", 20)</f>
        <v>Genial</v>
      </c>
      <c r="C23" s="1">
        <f>RTD("rtdtrading.rtdserver",, "T&amp;T0", "PRE", 20)</f>
        <v>174375</v>
      </c>
      <c r="D23" s="1">
        <f>RTD("rtdtrading.rtdserver",, "T&amp;T0", "QUL", 20)</f>
        <v>57</v>
      </c>
      <c r="E23" s="1" t="str">
        <f>RTD("rtdtrading.rtdserver",, "T&amp;T0", "AVD", 20)</f>
        <v>XP</v>
      </c>
      <c r="F23" s="1" t="str">
        <f>RTD("rtdtrading.rtdserver",, "T&amp;T0", "AGR", 20)</f>
        <v>Vendedor</v>
      </c>
      <c r="G23" s="1"/>
      <c r="H23" s="1"/>
    </row>
    <row r="24" spans="1:8" x14ac:dyDescent="0.25">
      <c r="A24" s="1" t="str">
        <f>RTD("rtdtrading.rtdserver",, "T&amp;T0", "DAT", 21)</f>
        <v>25/08/2026 09:50:35.549</v>
      </c>
      <c r="B24" s="1" t="str">
        <f>RTD("rtdtrading.rtdserver",, "T&amp;T0", "ACP", 21)</f>
        <v>Genial</v>
      </c>
      <c r="C24" s="1">
        <f>RTD("rtdtrading.rtdserver",, "T&amp;T0", "PRE", 21)</f>
        <v>174390</v>
      </c>
      <c r="D24" s="1">
        <f>RTD("rtdtrading.rtdserver",, "T&amp;T0", "QUL", 21)</f>
        <v>58</v>
      </c>
      <c r="E24" s="1" t="str">
        <f>RTD("rtdtrading.rtdserver",, "T&amp;T0", "AVD", 21)</f>
        <v>Genial</v>
      </c>
      <c r="F24" s="1" t="str">
        <f>RTD("rtdtrading.rtdserver",, "T&amp;T0", "AGR", 21)</f>
        <v>RLP</v>
      </c>
      <c r="G24" s="1"/>
      <c r="H24" s="1"/>
    </row>
    <row r="25" spans="1:8" x14ac:dyDescent="0.25">
      <c r="A25" s="1" t="str">
        <f>RTD("rtdtrading.rtdserver",, "T&amp;T0", "DAT", 22)</f>
        <v>25/08/2026 09:50:34.229</v>
      </c>
      <c r="B25" s="1" t="str">
        <f>RTD("rtdtrading.rtdserver",, "T&amp;T0", "ACP", 22)</f>
        <v>Genial</v>
      </c>
      <c r="C25" s="1">
        <f>RTD("rtdtrading.rtdserver",, "T&amp;T0", "PRE", 22)</f>
        <v>174410</v>
      </c>
      <c r="D25" s="1">
        <f>RTD("rtdtrading.rtdserver",, "T&amp;T0", "QUL", 22)</f>
        <v>59</v>
      </c>
      <c r="E25" s="1" t="str">
        <f>RTD("rtdtrading.rtdserver",, "T&amp;T0", "AVD", 22)</f>
        <v>UBS</v>
      </c>
      <c r="F25" s="1" t="str">
        <f>RTD("rtdtrading.rtdserver",, "T&amp;T0", "AGR", 22)</f>
        <v>Vendedor</v>
      </c>
      <c r="G25" s="1"/>
      <c r="H25" s="1"/>
    </row>
    <row r="26" spans="1:8" x14ac:dyDescent="0.25">
      <c r="A26" s="1" t="str">
        <f>RTD("rtdtrading.rtdserver",, "T&amp;T0", "DAT", 23)</f>
        <v>25/08/2026 09:50:27.274</v>
      </c>
      <c r="B26" s="1" t="str">
        <f>RTD("rtdtrading.rtdserver",, "T&amp;T0", "ACP", 23)</f>
        <v>Santander</v>
      </c>
      <c r="C26" s="1">
        <f>RTD("rtdtrading.rtdserver",, "T&amp;T0", "PRE", 23)</f>
        <v>174430</v>
      </c>
      <c r="D26" s="1">
        <f>RTD("rtdtrading.rtdserver",, "T&amp;T0", "QUL", 23)</f>
        <v>67</v>
      </c>
      <c r="E26" s="1" t="str">
        <f>RTD("rtdtrading.rtdserver",, "T&amp;T0", "AVD", 23)</f>
        <v>Santander</v>
      </c>
      <c r="F26" s="1" t="str">
        <f>RTD("rtdtrading.rtdserver",, "T&amp;T0", "AGR", 23)</f>
        <v>RLP</v>
      </c>
      <c r="G26" s="1"/>
      <c r="H26" s="1"/>
    </row>
    <row r="27" spans="1:8" x14ac:dyDescent="0.25">
      <c r="A27" s="1" t="str">
        <f>RTD("rtdtrading.rtdserver",, "T&amp;T0", "DAT", 24)</f>
        <v>25/08/2026 09:50:26.404</v>
      </c>
      <c r="B27" s="1" t="str">
        <f>RTD("rtdtrading.rtdserver",, "T&amp;T0", "ACP", 24)</f>
        <v>Santander</v>
      </c>
      <c r="C27" s="1">
        <f>RTD("rtdtrading.rtdserver",, "T&amp;T0", "PRE", 24)</f>
        <v>174415</v>
      </c>
      <c r="D27" s="1">
        <f>RTD("rtdtrading.rtdserver",, "T&amp;T0", "QUL", 24)</f>
        <v>50</v>
      </c>
      <c r="E27" s="1" t="str">
        <f>RTD("rtdtrading.rtdserver",, "T&amp;T0", "AVD", 24)</f>
        <v>Santander</v>
      </c>
      <c r="F27" s="1" t="str">
        <f>RTD("rtdtrading.rtdserver",, "T&amp;T0", "AGR", 24)</f>
        <v>RLP</v>
      </c>
      <c r="G27" s="1"/>
      <c r="H27" s="1"/>
    </row>
    <row r="28" spans="1:8" x14ac:dyDescent="0.25">
      <c r="A28" s="1" t="str">
        <f>RTD("rtdtrading.rtdserver",, "T&amp;T0", "DAT", 25)</f>
        <v>25/08/2026 09:50:18.057</v>
      </c>
      <c r="B28" s="1" t="str">
        <f>RTD("rtdtrading.rtdserver",, "T&amp;T0", "ACP", 25)</f>
        <v>XP</v>
      </c>
      <c r="C28" s="1">
        <f>RTD("rtdtrading.rtdserver",, "T&amp;T0", "PRE", 25)</f>
        <v>174415</v>
      </c>
      <c r="D28" s="1">
        <f>RTD("rtdtrading.rtdserver",, "T&amp;T0", "QUL", 25)</f>
        <v>52</v>
      </c>
      <c r="E28" s="1" t="str">
        <f>RTD("rtdtrading.rtdserver",, "T&amp;T0", "AVD", 25)</f>
        <v>Genial</v>
      </c>
      <c r="F28" s="1" t="str">
        <f>RTD("rtdtrading.rtdserver",, "T&amp;T0", "AGR", 25)</f>
        <v>Comprador</v>
      </c>
      <c r="G28" s="1"/>
      <c r="H28" s="1"/>
    </row>
    <row r="29" spans="1:8" x14ac:dyDescent="0.25">
      <c r="A29" s="1" t="str">
        <f>RTD("rtdtrading.rtdserver",, "T&amp;T0", "DAT", 26)</f>
        <v>25/08/2026 09:50:18.057</v>
      </c>
      <c r="B29" s="1" t="str">
        <f>RTD("rtdtrading.rtdserver",, "T&amp;T0", "ACP", 26)</f>
        <v>XP</v>
      </c>
      <c r="C29" s="1">
        <f>RTD("rtdtrading.rtdserver",, "T&amp;T0", "PRE", 26)</f>
        <v>174410</v>
      </c>
      <c r="D29" s="1">
        <f>RTD("rtdtrading.rtdserver",, "T&amp;T0", "QUL", 26)</f>
        <v>50</v>
      </c>
      <c r="E29" s="1" t="str">
        <f>RTD("rtdtrading.rtdserver",, "T&amp;T0", "AVD", 26)</f>
        <v>BTG</v>
      </c>
      <c r="F29" s="1" t="str">
        <f>RTD("rtdtrading.rtdserver",, "T&amp;T0", "AGR", 26)</f>
        <v>Comprador</v>
      </c>
      <c r="G29" s="1"/>
      <c r="H29" s="1"/>
    </row>
    <row r="30" spans="1:8" x14ac:dyDescent="0.25">
      <c r="A30" s="1" t="str">
        <f>RTD("rtdtrading.rtdserver",, "T&amp;T0", "DAT", 27)</f>
        <v>25/08/2026 09:50:12.764</v>
      </c>
      <c r="B30" s="1" t="str">
        <f>RTD("rtdtrading.rtdserver",, "T&amp;T0", "ACP", 27)</f>
        <v>XP</v>
      </c>
      <c r="C30" s="1">
        <f>RTD("rtdtrading.rtdserver",, "T&amp;T0", "PRE", 27)</f>
        <v>174405</v>
      </c>
      <c r="D30" s="1">
        <f>RTD("rtdtrading.rtdserver",, "T&amp;T0", "QUL", 27)</f>
        <v>59</v>
      </c>
      <c r="E30" s="1" t="str">
        <f>RTD("rtdtrading.rtdserver",, "T&amp;T0", "AVD", 27)</f>
        <v>Ideal</v>
      </c>
      <c r="F30" s="1" t="str">
        <f>RTD("rtdtrading.rtdserver",, "T&amp;T0", "AGR", 27)</f>
        <v>Vendedor</v>
      </c>
      <c r="G30" s="1"/>
      <c r="H30" s="1"/>
    </row>
    <row r="31" spans="1:8" x14ac:dyDescent="0.25">
      <c r="A31" s="1" t="str">
        <f>RTD("rtdtrading.rtdserver",, "T&amp;T0", "DAT", 28)</f>
        <v>25/08/2026 09:50:10.676</v>
      </c>
      <c r="B31" s="1" t="str">
        <f>RTD("rtdtrading.rtdserver",, "T&amp;T0", "ACP", 28)</f>
        <v>Genial</v>
      </c>
      <c r="C31" s="1">
        <f>RTD("rtdtrading.rtdserver",, "T&amp;T0", "PRE", 28)</f>
        <v>174445</v>
      </c>
      <c r="D31" s="1">
        <f>RTD("rtdtrading.rtdserver",, "T&amp;T0", "QUL", 28)</f>
        <v>50</v>
      </c>
      <c r="E31" s="1" t="str">
        <f>RTD("rtdtrading.rtdserver",, "T&amp;T0", "AVD", 28)</f>
        <v>Genial</v>
      </c>
      <c r="F31" s="1" t="str">
        <f>RTD("rtdtrading.rtdserver",, "T&amp;T0", "AGR", 28)</f>
        <v>RLP</v>
      </c>
      <c r="G31" s="1"/>
      <c r="H31" s="1"/>
    </row>
    <row r="32" spans="1:8" x14ac:dyDescent="0.25">
      <c r="A32" s="1" t="str">
        <f>RTD("rtdtrading.rtdserver",, "T&amp;T0", "DAT", 29)</f>
        <v>25/08/2026 09:50:10.571</v>
      </c>
      <c r="B32" s="1" t="str">
        <f>RTD("rtdtrading.rtdserver",, "T&amp;T0", "ACP", 29)</f>
        <v>XP</v>
      </c>
      <c r="C32" s="1">
        <f>RTD("rtdtrading.rtdserver",, "T&amp;T0", "PRE", 29)</f>
        <v>174460</v>
      </c>
      <c r="D32" s="1">
        <f>RTD("rtdtrading.rtdserver",, "T&amp;T0", "QUL", 29)</f>
        <v>50</v>
      </c>
      <c r="E32" s="1" t="str">
        <f>RTD("rtdtrading.rtdserver",, "T&amp;T0", "AVD", 29)</f>
        <v>BTG</v>
      </c>
      <c r="F32" s="1" t="str">
        <f>RTD("rtdtrading.rtdserver",, "T&amp;T0", "AGR", 29)</f>
        <v>Comprador</v>
      </c>
      <c r="G32" s="1"/>
      <c r="H32" s="1"/>
    </row>
    <row r="33" spans="1:8" x14ac:dyDescent="0.25">
      <c r="A33" s="1" t="str">
        <f>RTD("rtdtrading.rtdserver",, "T&amp;T0", "DAT", 30)</f>
        <v>25/08/2026 09:50:10.571</v>
      </c>
      <c r="B33" s="1" t="str">
        <f>RTD("rtdtrading.rtdserver",, "T&amp;T0", "ACP", 30)</f>
        <v>XP</v>
      </c>
      <c r="C33" s="1">
        <f>RTD("rtdtrading.rtdserver",, "T&amp;T0", "PRE", 30)</f>
        <v>174460</v>
      </c>
      <c r="D33" s="1">
        <f>RTD("rtdtrading.rtdserver",, "T&amp;T0", "QUL", 30)</f>
        <v>50</v>
      </c>
      <c r="E33" s="1" t="str">
        <f>RTD("rtdtrading.rtdserver",, "T&amp;T0", "AVD", 30)</f>
        <v>Genial</v>
      </c>
      <c r="F33" s="1" t="str">
        <f>RTD("rtdtrading.rtdserver",, "T&amp;T0", "AGR", 30)</f>
        <v>Comprador</v>
      </c>
      <c r="G33" s="1"/>
      <c r="H33" s="1"/>
    </row>
    <row r="34" spans="1:8" x14ac:dyDescent="0.25">
      <c r="A34" s="1" t="str">
        <f>RTD("rtdtrading.rtdserver",, "T&amp;T0", "DAT", 31)</f>
        <v>25/08/2026 09:50:10.570</v>
      </c>
      <c r="B34" s="1" t="str">
        <f>RTD("rtdtrading.rtdserver",, "T&amp;T0", "ACP", 31)</f>
        <v>XP</v>
      </c>
      <c r="C34" s="1">
        <f>RTD("rtdtrading.rtdserver",, "T&amp;T0", "PRE", 31)</f>
        <v>174450</v>
      </c>
      <c r="D34" s="1">
        <f>RTD("rtdtrading.rtdserver",, "T&amp;T0", "QUL", 31)</f>
        <v>50</v>
      </c>
      <c r="E34" s="1" t="str">
        <f>RTD("rtdtrading.rtdserver",, "T&amp;T0", "AVD", 31)</f>
        <v>XP</v>
      </c>
      <c r="F34" s="1" t="str">
        <f>RTD("rtdtrading.rtdserver",, "T&amp;T0", "AGR", 31)</f>
        <v>Comprador</v>
      </c>
      <c r="G34" s="1"/>
      <c r="H34" s="1"/>
    </row>
    <row r="35" spans="1:8" x14ac:dyDescent="0.25">
      <c r="A35" s="1" t="str">
        <f>RTD("rtdtrading.rtdserver",, "T&amp;T0", "DAT", 32)</f>
        <v>25/08/2026 09:50:10.311</v>
      </c>
      <c r="B35" s="1" t="str">
        <f>RTD("rtdtrading.rtdserver",, "T&amp;T0", "ACP", 32)</f>
        <v>Itau</v>
      </c>
      <c r="C35" s="1">
        <f>RTD("rtdtrading.rtdserver",, "T&amp;T0", "PRE", 32)</f>
        <v>174440</v>
      </c>
      <c r="D35" s="1">
        <f>RTD("rtdtrading.rtdserver",, "T&amp;T0", "QUL", 32)</f>
        <v>100</v>
      </c>
      <c r="E35" s="1" t="str">
        <f>RTD("rtdtrading.rtdserver",, "T&amp;T0", "AVD", 32)</f>
        <v>Itau</v>
      </c>
      <c r="F35" s="1" t="str">
        <f>RTD("rtdtrading.rtdserver",, "T&amp;T0", "AGR", 32)</f>
        <v>RLP</v>
      </c>
      <c r="G35" s="1"/>
      <c r="H35" s="1"/>
    </row>
    <row r="36" spans="1:8" x14ac:dyDescent="0.25">
      <c r="A36" s="1" t="str">
        <f>RTD("rtdtrading.rtdserver",, "T&amp;T0", "DAT", 33)</f>
        <v>25/08/2026 09:50:08.004</v>
      </c>
      <c r="B36" s="1" t="str">
        <f>RTD("rtdtrading.rtdserver",, "T&amp;T0", "ACP", 33)</f>
        <v>BTG</v>
      </c>
      <c r="C36" s="1">
        <f>RTD("rtdtrading.rtdserver",, "T&amp;T0", "PRE", 33)</f>
        <v>174395</v>
      </c>
      <c r="D36" s="1">
        <f>RTD("rtdtrading.rtdserver",, "T&amp;T0", "QUL", 33)</f>
        <v>55</v>
      </c>
      <c r="E36" s="1" t="str">
        <f>RTD("rtdtrading.rtdserver",, "T&amp;T0", "AVD", 33)</f>
        <v>Genial</v>
      </c>
      <c r="F36" s="1" t="str">
        <f>RTD("rtdtrading.rtdserver",, "T&amp;T0", "AGR", 33)</f>
        <v>Comprador</v>
      </c>
      <c r="G36" s="1"/>
      <c r="H36" s="1"/>
    </row>
    <row r="37" spans="1:8" x14ac:dyDescent="0.25">
      <c r="A37" s="1" t="str">
        <f>RTD("rtdtrading.rtdserver",, "T&amp;T0", "DAT", 34)</f>
        <v>25/08/2026 09:50:08.004</v>
      </c>
      <c r="B37" s="1" t="str">
        <f>RTD("rtdtrading.rtdserver",, "T&amp;T0", "ACP", 34)</f>
        <v>XP</v>
      </c>
      <c r="C37" s="1">
        <f>RTD("rtdtrading.rtdserver",, "T&amp;T0", "PRE", 34)</f>
        <v>174390</v>
      </c>
      <c r="D37" s="1">
        <f>RTD("rtdtrading.rtdserver",, "T&amp;T0", "QUL", 34)</f>
        <v>63</v>
      </c>
      <c r="E37" s="1" t="str">
        <f>RTD("rtdtrading.rtdserver",, "T&amp;T0", "AVD", 34)</f>
        <v>Genial</v>
      </c>
      <c r="F37" s="1" t="str">
        <f>RTD("rtdtrading.rtdserver",, "T&amp;T0", "AGR", 34)</f>
        <v>Comprador</v>
      </c>
      <c r="G37" s="1"/>
      <c r="H37" s="1"/>
    </row>
    <row r="38" spans="1:8" x14ac:dyDescent="0.25">
      <c r="A38" s="1" t="str">
        <f>RTD("rtdtrading.rtdserver",, "T&amp;T0", "DAT", 35)</f>
        <v>25/08/2026 09:50:07.059</v>
      </c>
      <c r="B38" s="1" t="str">
        <f>RTD("rtdtrading.rtdserver",, "T&amp;T0", "ACP", 35)</f>
        <v>Santander</v>
      </c>
      <c r="C38" s="1">
        <f>RTD("rtdtrading.rtdserver",, "T&amp;T0", "PRE", 35)</f>
        <v>174385</v>
      </c>
      <c r="D38" s="1">
        <f>RTD("rtdtrading.rtdserver",, "T&amp;T0", "QUL", 35)</f>
        <v>50</v>
      </c>
      <c r="E38" s="1" t="str">
        <f>RTD("rtdtrading.rtdserver",, "T&amp;T0", "AVD", 35)</f>
        <v>Santander</v>
      </c>
      <c r="F38" s="1" t="str">
        <f>RTD("rtdtrading.rtdserver",, "T&amp;T0", "AGR", 35)</f>
        <v>RLP</v>
      </c>
      <c r="G38" s="1"/>
      <c r="H38" s="1"/>
    </row>
    <row r="39" spans="1:8" x14ac:dyDescent="0.25">
      <c r="A39" s="1" t="str">
        <f>RTD("rtdtrading.rtdserver",, "T&amp;T0", "DAT", 36)</f>
        <v>25/08/2026 09:50:03.151</v>
      </c>
      <c r="B39" s="1" t="str">
        <f>RTD("rtdtrading.rtdserver",, "T&amp;T0", "ACP", 36)</f>
        <v>Itau</v>
      </c>
      <c r="C39" s="1">
        <f>RTD("rtdtrading.rtdserver",, "T&amp;T0", "PRE", 36)</f>
        <v>174395</v>
      </c>
      <c r="D39" s="1">
        <f>RTD("rtdtrading.rtdserver",, "T&amp;T0", "QUL", 36)</f>
        <v>55</v>
      </c>
      <c r="E39" s="1" t="str">
        <f>RTD("rtdtrading.rtdserver",, "T&amp;T0", "AVD", 36)</f>
        <v>Genial</v>
      </c>
      <c r="F39" s="1" t="str">
        <f>RTD("rtdtrading.rtdserver",, "T&amp;T0", "AGR", 36)</f>
        <v>Comprador</v>
      </c>
      <c r="G39" s="1"/>
      <c r="H39" s="1"/>
    </row>
    <row r="40" spans="1:8" x14ac:dyDescent="0.25">
      <c r="A40" s="1" t="str">
        <f>RTD("rtdtrading.rtdserver",, "T&amp;T0", "DAT", 37)</f>
        <v>25/08/2026 09:50:03.151</v>
      </c>
      <c r="B40" s="1" t="str">
        <f>RTD("rtdtrading.rtdserver",, "T&amp;T0", "ACP", 37)</f>
        <v>Itau</v>
      </c>
      <c r="C40" s="1">
        <f>RTD("rtdtrading.rtdserver",, "T&amp;T0", "PRE", 37)</f>
        <v>174390</v>
      </c>
      <c r="D40" s="1">
        <f>RTD("rtdtrading.rtdserver",, "T&amp;T0", "QUL", 37)</f>
        <v>63</v>
      </c>
      <c r="E40" s="1" t="str">
        <f>RTD("rtdtrading.rtdserver",, "T&amp;T0", "AVD", 37)</f>
        <v>Genial</v>
      </c>
      <c r="F40" s="1" t="str">
        <f>RTD("rtdtrading.rtdserver",, "T&amp;T0", "AGR", 37)</f>
        <v>Comprador</v>
      </c>
      <c r="G40" s="1"/>
      <c r="H40" s="1"/>
    </row>
    <row r="41" spans="1:8" x14ac:dyDescent="0.25">
      <c r="A41" s="1" t="str">
        <f>RTD("rtdtrading.rtdserver",, "T&amp;T0", "DAT", 38)</f>
        <v>25/08/2026 09:50:00.261</v>
      </c>
      <c r="B41" s="1" t="str">
        <f>RTD("rtdtrading.rtdserver",, "T&amp;T0", "ACP", 38)</f>
        <v>Santander</v>
      </c>
      <c r="C41" s="1">
        <f>RTD("rtdtrading.rtdserver",, "T&amp;T0", "PRE", 38)</f>
        <v>174395</v>
      </c>
      <c r="D41" s="1">
        <f>RTD("rtdtrading.rtdserver",, "T&amp;T0", "QUL", 38)</f>
        <v>104</v>
      </c>
      <c r="E41" s="1" t="str">
        <f>RTD("rtdtrading.rtdserver",, "T&amp;T0", "AVD", 38)</f>
        <v>Santander</v>
      </c>
      <c r="F41" s="1" t="str">
        <f>RTD("rtdtrading.rtdserver",, "T&amp;T0", "AGR", 38)</f>
        <v>RLP</v>
      </c>
      <c r="G41" s="1"/>
      <c r="H41" s="1"/>
    </row>
    <row r="42" spans="1:8" x14ac:dyDescent="0.25">
      <c r="A42" s="1" t="str">
        <f>RTD("rtdtrading.rtdserver",, "T&amp;T0", "DAT", 39)</f>
        <v>25/08/2026 09:50:00.176</v>
      </c>
      <c r="B42" s="1" t="str">
        <f>RTD("rtdtrading.rtdserver",, "T&amp;T0", "ACP", 39)</f>
        <v>Genial</v>
      </c>
      <c r="C42" s="1">
        <f>RTD("rtdtrading.rtdserver",, "T&amp;T0", "PRE", 39)</f>
        <v>174395</v>
      </c>
      <c r="D42" s="1">
        <f>RTD("rtdtrading.rtdserver",, "T&amp;T0", "QUL", 39)</f>
        <v>50</v>
      </c>
      <c r="E42" s="1" t="str">
        <f>RTD("rtdtrading.rtdserver",, "T&amp;T0", "AVD", 39)</f>
        <v>Genial</v>
      </c>
      <c r="F42" s="1" t="str">
        <f>RTD("rtdtrading.rtdserver",, "T&amp;T0", "AGR", 39)</f>
        <v>RLP</v>
      </c>
      <c r="G42" s="1"/>
      <c r="H42" s="1"/>
    </row>
    <row r="43" spans="1:8" x14ac:dyDescent="0.25">
      <c r="A43" s="1" t="str">
        <f>RTD("rtdtrading.rtdserver",, "T&amp;T0", "DAT", 40)</f>
        <v>25/08/2026 09:49:54.835</v>
      </c>
      <c r="B43" s="1" t="str">
        <f>RTD("rtdtrading.rtdserver",, "T&amp;T0", "ACP", 40)</f>
        <v>Elliot-Warren</v>
      </c>
      <c r="C43" s="1">
        <f>RTD("rtdtrading.rtdserver",, "T&amp;T0", "PRE", 40)</f>
        <v>174385</v>
      </c>
      <c r="D43" s="1">
        <f>RTD("rtdtrading.rtdserver",, "T&amp;T0", "QUL", 40)</f>
        <v>50</v>
      </c>
      <c r="E43" s="1" t="str">
        <f>RTD("rtdtrading.rtdserver",, "T&amp;T0", "AVD", 40)</f>
        <v>Elliot-Warren</v>
      </c>
      <c r="F43" s="1" t="str">
        <f>RTD("rtdtrading.rtdserver",, "T&amp;T0", "AGR", 40)</f>
        <v>RLP</v>
      </c>
      <c r="G43" s="1"/>
      <c r="H43" s="1"/>
    </row>
    <row r="44" spans="1:8" x14ac:dyDescent="0.25">
      <c r="A44" s="1" t="str">
        <f>RTD("rtdtrading.rtdserver",, "T&amp;T0", "DAT", 41)</f>
        <v>25/08/2026 09:49:50.646</v>
      </c>
      <c r="B44" s="1" t="str">
        <f>RTD("rtdtrading.rtdserver",, "T&amp;T0", "ACP", 41)</f>
        <v>BTG</v>
      </c>
      <c r="C44" s="1">
        <f>RTD("rtdtrading.rtdserver",, "T&amp;T0", "PRE", 41)</f>
        <v>174380</v>
      </c>
      <c r="D44" s="1">
        <f>RTD("rtdtrading.rtdserver",, "T&amp;T0", "QUL", 41)</f>
        <v>64</v>
      </c>
      <c r="E44" s="1" t="str">
        <f>RTD("rtdtrading.rtdserver",, "T&amp;T0", "AVD", 41)</f>
        <v>Genial</v>
      </c>
      <c r="F44" s="1" t="str">
        <f>RTD("rtdtrading.rtdserver",, "T&amp;T0", "AGR", 41)</f>
        <v>Comprador</v>
      </c>
      <c r="G44" s="1"/>
      <c r="H44" s="1"/>
    </row>
    <row r="45" spans="1:8" x14ac:dyDescent="0.25">
      <c r="A45" s="1" t="str">
        <f>RTD("rtdtrading.rtdserver",, "T&amp;T0", "DAT", 42)</f>
        <v>25/08/2026 09:49:49.178</v>
      </c>
      <c r="B45" s="1" t="str">
        <f>RTD("rtdtrading.rtdserver",, "T&amp;T0", "ACP", 42)</f>
        <v>BTG</v>
      </c>
      <c r="C45" s="1">
        <f>RTD("rtdtrading.rtdserver",, "T&amp;T0", "PRE", 42)</f>
        <v>174335</v>
      </c>
      <c r="D45" s="1">
        <f>RTD("rtdtrading.rtdserver",, "T&amp;T0", "QUL", 42)</f>
        <v>50</v>
      </c>
      <c r="E45" s="1" t="str">
        <f>RTD("rtdtrading.rtdserver",, "T&amp;T0", "AVD", 42)</f>
        <v>Elliot-Warren</v>
      </c>
      <c r="F45" s="1" t="str">
        <f>RTD("rtdtrading.rtdserver",, "T&amp;T0", "AGR", 42)</f>
        <v>Vendedor</v>
      </c>
      <c r="G45" s="1"/>
      <c r="H45" s="1"/>
    </row>
    <row r="46" spans="1:8" x14ac:dyDescent="0.25">
      <c r="A46" s="1" t="str">
        <f>RTD("rtdtrading.rtdserver",, "T&amp;T0", "DAT", 43)</f>
        <v>25/08/2026 09:49:49.178</v>
      </c>
      <c r="B46" s="1" t="str">
        <f>RTD("rtdtrading.rtdserver",, "T&amp;T0", "ACP", 43)</f>
        <v>Genial</v>
      </c>
      <c r="C46" s="1">
        <f>RTD("rtdtrading.rtdserver",, "T&amp;T0", "PRE", 43)</f>
        <v>174340</v>
      </c>
      <c r="D46" s="1">
        <f>RTD("rtdtrading.rtdserver",, "T&amp;T0", "QUL", 43)</f>
        <v>66</v>
      </c>
      <c r="E46" s="1" t="str">
        <f>RTD("rtdtrading.rtdserver",, "T&amp;T0", "AVD", 43)</f>
        <v>BTG</v>
      </c>
      <c r="F46" s="1" t="str">
        <f>RTD("rtdtrading.rtdserver",, "T&amp;T0", "AGR", 43)</f>
        <v>Vendedor</v>
      </c>
      <c r="G46" s="1"/>
      <c r="H46" s="1"/>
    </row>
    <row r="47" spans="1:8" x14ac:dyDescent="0.25">
      <c r="A47" s="1" t="str">
        <f>RTD("rtdtrading.rtdserver",, "T&amp;T0", "DAT", 44)</f>
        <v>25/08/2026 09:49:49.178</v>
      </c>
      <c r="B47" s="1" t="str">
        <f>RTD("rtdtrading.rtdserver",, "T&amp;T0", "ACP", 44)</f>
        <v>BTG</v>
      </c>
      <c r="C47" s="1">
        <f>RTD("rtdtrading.rtdserver",, "T&amp;T0", "PRE", 44)</f>
        <v>174345</v>
      </c>
      <c r="D47" s="1">
        <f>RTD("rtdtrading.rtdserver",, "T&amp;T0", "QUL", 44)</f>
        <v>72</v>
      </c>
      <c r="E47" s="1" t="str">
        <f>RTD("rtdtrading.rtdserver",, "T&amp;T0", "AVD", 44)</f>
        <v>BTG</v>
      </c>
      <c r="F47" s="1" t="str">
        <f>RTD("rtdtrading.rtdserver",, "T&amp;T0", "AGR", 44)</f>
        <v>Vendedor</v>
      </c>
      <c r="G47" s="1"/>
      <c r="H47" s="1"/>
    </row>
    <row r="48" spans="1:8" x14ac:dyDescent="0.25">
      <c r="A48" s="1" t="str">
        <f>RTD("rtdtrading.rtdserver",, "T&amp;T0", "DAT", 45)</f>
        <v>25/08/2026 09:49:49.173</v>
      </c>
      <c r="B48" s="1" t="str">
        <f>RTD("rtdtrading.rtdserver",, "T&amp;T0", "ACP", 45)</f>
        <v>Genial</v>
      </c>
      <c r="C48" s="1">
        <f>RTD("rtdtrading.rtdserver",, "T&amp;T0", "PRE", 45)</f>
        <v>174355</v>
      </c>
      <c r="D48" s="1">
        <f>RTD("rtdtrading.rtdserver",, "T&amp;T0", "QUL", 45)</f>
        <v>63</v>
      </c>
      <c r="E48" s="1" t="str">
        <f>RTD("rtdtrading.rtdserver",, "T&amp;T0", "AVD", 45)</f>
        <v>UBS</v>
      </c>
      <c r="F48" s="1" t="str">
        <f>RTD("rtdtrading.rtdserver",, "T&amp;T0", "AGR", 45)</f>
        <v>Vendedor</v>
      </c>
      <c r="G48" s="1"/>
      <c r="H48" s="1"/>
    </row>
    <row r="49" spans="1:8" x14ac:dyDescent="0.25">
      <c r="A49" s="1" t="str">
        <f>RTD("rtdtrading.rtdserver",, "T&amp;T0", "DAT", 46)</f>
        <v>25/08/2026 09:49:46.768</v>
      </c>
      <c r="B49" s="1" t="str">
        <f>RTD("rtdtrading.rtdserver",, "T&amp;T0", "ACP", 46)</f>
        <v>XP</v>
      </c>
      <c r="C49" s="1">
        <f>RTD("rtdtrading.rtdserver",, "T&amp;T0", "PRE", 46)</f>
        <v>174360</v>
      </c>
      <c r="D49" s="1">
        <f>RTD("rtdtrading.rtdserver",, "T&amp;T0", "QUL", 46)</f>
        <v>398</v>
      </c>
      <c r="E49" s="1" t="str">
        <f>RTD("rtdtrading.rtdserver",, "T&amp;T0", "AVD", 46)</f>
        <v>UBS</v>
      </c>
      <c r="F49" s="1" t="str">
        <f>RTD("rtdtrading.rtdserver",, "T&amp;T0", "AGR", 46)</f>
        <v>Vendedor</v>
      </c>
      <c r="G49" s="1"/>
      <c r="H49" s="1"/>
    </row>
    <row r="50" spans="1:8" x14ac:dyDescent="0.25">
      <c r="A50" s="1" t="str">
        <f>RTD("rtdtrading.rtdserver",, "T&amp;T0", "DAT", 47)</f>
        <v>25/08/2026 09:49:42.091</v>
      </c>
      <c r="B50" s="1" t="str">
        <f>RTD("rtdtrading.rtdserver",, "T&amp;T0", "ACP", 47)</f>
        <v>XP</v>
      </c>
      <c r="C50" s="1">
        <f>RTD("rtdtrading.rtdserver",, "T&amp;T0", "PRE", 47)</f>
        <v>174350</v>
      </c>
      <c r="D50" s="1">
        <f>RTD("rtdtrading.rtdserver",, "T&amp;T0", "QUL", 47)</f>
        <v>50</v>
      </c>
      <c r="E50" s="1" t="str">
        <f>RTD("rtdtrading.rtdserver",, "T&amp;T0", "AVD", 47)</f>
        <v>BTG</v>
      </c>
      <c r="F50" s="1" t="str">
        <f>RTD("rtdtrading.rtdserver",, "T&amp;T0", "AGR", 47)</f>
        <v>Vendedor</v>
      </c>
      <c r="G50" s="1"/>
      <c r="H50" s="1"/>
    </row>
    <row r="51" spans="1:8" x14ac:dyDescent="0.25">
      <c r="A51" s="1" t="str">
        <f>RTD("rtdtrading.rtdserver",, "T&amp;T0", "DAT", 48)</f>
        <v>25/08/2026 09:49:42.091</v>
      </c>
      <c r="B51" s="1" t="str">
        <f>RTD("rtdtrading.rtdserver",, "T&amp;T0", "ACP", 48)</f>
        <v>BTG</v>
      </c>
      <c r="C51" s="1">
        <f>RTD("rtdtrading.rtdserver",, "T&amp;T0", "PRE", 48)</f>
        <v>174350</v>
      </c>
      <c r="D51" s="1">
        <f>RTD("rtdtrading.rtdserver",, "T&amp;T0", "QUL", 48)</f>
        <v>50</v>
      </c>
      <c r="E51" s="1" t="str">
        <f>RTD("rtdtrading.rtdserver",, "T&amp;T0", "AVD", 48)</f>
        <v>BTG</v>
      </c>
      <c r="F51" s="1" t="str">
        <f>RTD("rtdtrading.rtdserver",, "T&amp;T0", "AGR", 48)</f>
        <v>Vendedor</v>
      </c>
      <c r="G51" s="1"/>
      <c r="H51" s="1"/>
    </row>
    <row r="52" spans="1:8" x14ac:dyDescent="0.25">
      <c r="A52" s="1" t="str">
        <f>RTD("rtdtrading.rtdserver",, "T&amp;T0", "DAT", 49)</f>
        <v>25/08/2026 09:49:42.091</v>
      </c>
      <c r="B52" s="1" t="str">
        <f>RTD("rtdtrading.rtdserver",, "T&amp;T0", "ACP", 49)</f>
        <v>Genial</v>
      </c>
      <c r="C52" s="1">
        <f>RTD("rtdtrading.rtdserver",, "T&amp;T0", "PRE", 49)</f>
        <v>174355</v>
      </c>
      <c r="D52" s="1">
        <f>RTD("rtdtrading.rtdserver",, "T&amp;T0", "QUL", 49)</f>
        <v>63</v>
      </c>
      <c r="E52" s="1" t="str">
        <f>RTD("rtdtrading.rtdserver",, "T&amp;T0", "AVD", 49)</f>
        <v>BTG</v>
      </c>
      <c r="F52" s="1" t="str">
        <f>RTD("rtdtrading.rtdserver",, "T&amp;T0", "AGR", 49)</f>
        <v>Vendedor</v>
      </c>
      <c r="G52" s="1"/>
      <c r="H5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tertoliano</dc:creator>
  <cp:lastModifiedBy>Marcelo tertoliano</cp:lastModifiedBy>
  <dcterms:created xsi:type="dcterms:W3CDTF">2026-08-24T18:23:14Z</dcterms:created>
  <dcterms:modified xsi:type="dcterms:W3CDTF">2026-08-25T11:50:00Z</dcterms:modified>
</cp:coreProperties>
</file>