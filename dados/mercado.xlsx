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OPILOTO_PRICE_ACTION_AI\dados\"/>
    </mc:Choice>
  </mc:AlternateContent>
  <xr:revisionPtr revIDLastSave="0" documentId="13_ncr:1_{10BFC0A8-13EA-4A82-A20F-3AE11C000A40}" xr6:coauthVersionLast="47" xr6:coauthVersionMax="47" xr10:uidLastSave="{00000000-0000-0000-0000-000000000000}"/>
  <bookViews>
    <workbookView xWindow="31320" yWindow="2070" windowWidth="21600" windowHeight="11385" xr2:uid="{053FB8ED-3EE0-40A4-8A34-98C4171923B1}"/>
  </bookViews>
  <sheets>
    <sheet name="Planilha1" sheetId="1" r:id="rId1"/>
  </sheets>
  <externalReferences>
    <externalReference r:id="rId2"/>
  </externalReferenc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" i="1" l="1"/>
  <c r="C2" i="1"/>
  <c r="D2" i="1"/>
  <c r="E2" i="1"/>
  <c r="F2" i="1"/>
  <c r="G2" i="1"/>
  <c r="H2" i="1"/>
  <c r="I2" i="1"/>
  <c r="J2" i="1"/>
  <c r="K2" i="1"/>
  <c r="L2" i="1"/>
  <c r="M2" i="1"/>
  <c r="N2" i="1"/>
  <c r="B3" i="1"/>
  <c r="C3" i="1"/>
  <c r="D3" i="1"/>
  <c r="E3" i="1"/>
  <c r="F3" i="1"/>
  <c r="G3" i="1"/>
  <c r="H3" i="1"/>
  <c r="I3" i="1"/>
  <c r="J3" i="1"/>
  <c r="K3" i="1"/>
  <c r="L3" i="1"/>
  <c r="M3" i="1"/>
  <c r="N3" i="1"/>
</calcChain>
</file>

<file path=xl/sharedStrings.xml><?xml version="1.0" encoding="utf-8"?>
<sst xmlns="http://schemas.openxmlformats.org/spreadsheetml/2006/main" count="16" uniqueCount="16">
  <si>
    <t>Asset</t>
  </si>
  <si>
    <t>Data</t>
  </si>
  <si>
    <t>Hora</t>
  </si>
  <si>
    <t>Último</t>
  </si>
  <si>
    <t>Abertura</t>
  </si>
  <si>
    <t>Máximo</t>
  </si>
  <si>
    <t>Mínimo</t>
  </si>
  <si>
    <t>Strike</t>
  </si>
  <si>
    <t>Média</t>
  </si>
  <si>
    <t>Negócios</t>
  </si>
  <si>
    <t>Vencimento</t>
  </si>
  <si>
    <t>ADX</t>
  </si>
  <si>
    <t>MACD Histograma</t>
  </si>
  <si>
    <t>Média Móvel</t>
  </si>
  <si>
    <t>WDOQ26</t>
  </si>
  <si>
    <t>WINQ26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</si>
</sst>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ddeLink xmlns:r="http://schemas.openxmlformats.org/officeDocument/2006/relationships" ddeService="profitchart" ddeTopic="cot">
    <ddeItems>
      <ddeItem name="StdDocumentName" ole="1" advise="1"/>
      <ddeItem name="WDOQ26.22" advise="1">
        <values>
          <value t="str">
            <val>42,18</val>
          </value>
        </values>
      </ddeItem>
      <ddeItem name="WDOQ26.3" advise="1">
        <values>
          <value t="str">
            <val>5.109,80</val>
          </value>
        </values>
      </ddeItem>
      <ddeItem name="WDOQ26.6" advise="1">
        <values>
          <value t="str">
            <val>-10,20 / -10,20</val>
          </value>
        </values>
      </ddeItem>
      <ddeItem name="WDOQ26.ABE" advise="1">
        <values>
          <value>
            <val>5087</val>
          </value>
        </values>
      </ddeItem>
      <ddeItem name="WDOQ26.DAT" advise="1">
        <values>
          <value t="str">
            <val>23/07/2026</val>
          </value>
        </values>
      </ddeItem>
      <ddeItem name="WDOQ26.HOR" advise="1">
        <values>
          <value t="str">
            <val>17:38:03</val>
          </value>
        </values>
      </ddeItem>
      <ddeItem name="WDOQ26.MAX" advise="1">
        <values>
          <value>
            <val>5103.5</val>
          </value>
        </values>
      </ddeItem>
      <ddeItem name="WDOQ26.MED" advise="1">
        <values>
          <value>
            <val>5093.0546722973249</val>
          </value>
        </values>
      </ddeItem>
      <ddeItem name="WDOQ26.MIN" advise="1">
        <values>
          <value>
            <val>5079.5</val>
          </value>
        </values>
      </ddeItem>
      <ddeItem name="WDOQ26.NEG" advise="1">
        <values>
          <value>
            <val>407200</val>
          </value>
        </values>
      </ddeItem>
      <ddeItem name="WDOQ26.PEX" advise="1">
        <values>
          <value>
            <val>0</val>
          </value>
        </values>
      </ddeItem>
      <ddeItem name="WDOQ26.ULT" advise="1">
        <values>
          <value>
            <val>5094</val>
          </value>
        </values>
      </ddeItem>
      <ddeItem name="WDOQ26.VEN" advise="1">
        <values>
          <value t="str">
            <val>03/08/2026</val>
          </value>
        </values>
      </ddeItem>
      <ddeItem name="WINQ26.22" advise="1">
        <values>
          <value t="str">
            <val>49,55</val>
          </value>
        </values>
      </ddeItem>
      <ddeItem name="WINQ26.3" advise="1">
        <values>
          <value t="str">
            <val>177.029,50</val>
          </value>
        </values>
      </ddeItem>
      <ddeItem name="WINQ26.6" advise="1">
        <values>
          <value t="str">
            <val>368,05 / 368,05</val>
          </value>
        </values>
      </ddeItem>
      <ddeItem name="WINQ26.ABE" advise="1">
        <values>
          <value>
            <val>178400</val>
          </value>
        </values>
      </ddeItem>
      <ddeItem name="WINQ26.DAT" advise="1">
        <values>
          <value t="str">
            <val>23/07/2026</val>
          </value>
        </values>
      </ddeItem>
      <ddeItem name="WINQ26.HOR" advise="1">
        <values>
          <value t="str">
            <val>17:38:05</val>
          </value>
        </values>
      </ddeItem>
      <ddeItem name="WINQ26.MAX" advise="1">
        <values>
          <value>
            <val>179125</val>
          </value>
        </values>
      </ddeItem>
      <ddeItem name="WINQ26.MED" advise="1">
        <values>
          <value>
            <val>178105.07225430387</val>
          </value>
        </values>
      </ddeItem>
      <ddeItem name="WINQ26.MIN" advise="1">
        <values>
          <value>
            <val>177400</val>
          </value>
        </values>
      </ddeItem>
      <ddeItem name="WINQ26.NEG" advise="1">
        <values>
          <value>
            <val>4323338</val>
          </value>
        </values>
      </ddeItem>
      <ddeItem name="WINQ26.PEX" advise="1">
        <values>
          <value>
            <val>0</val>
          </value>
        </values>
      </ddeItem>
      <ddeItem name="WINQ26.ULT" advise="1">
        <values>
          <value>
            <val>177805</val>
          </value>
        </values>
      </ddeItem>
      <ddeItem name="WINQ26.VEN" advise="1">
        <values>
          <value t="str">
            <val>12/08/2026</val>
          </value>
        </values>
      </ddeItem>
    </ddeItems>
  </ddeLin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D09D2-3F42-4A00-8BF9-FD2B7B5A3F3B}">
  <dimension ref="A1:N3"/>
  <sheetViews>
    <sheetView tabSelected="1" workbookViewId="0">
      <selection sqref="A1:N3"/>
    </sheetView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tr">
        <f>[1]!WDOQ26.DAT</f>
        <v>23/07/2026</v>
      </c>
      <c r="C2" t="str">
        <f>[1]!WDOQ26.HOR</f>
        <v>17:38:03</v>
      </c>
      <c r="D2">
        <f>[1]!WDOQ26.ULT</f>
        <v>5094</v>
      </c>
      <c r="E2">
        <f>[1]!WDOQ26.ABE</f>
        <v>5087</v>
      </c>
      <c r="F2">
        <f>[1]!WDOQ26.MAX</f>
        <v>5103.5</v>
      </c>
      <c r="G2">
        <f>[1]!WDOQ26.MIN</f>
        <v>5079.5</v>
      </c>
      <c r="H2">
        <f>[1]!WDOQ26.PEX</f>
        <v>0</v>
      </c>
      <c r="I2">
        <f>[1]!WDOQ26.MED</f>
        <v>5093.0546722973249</v>
      </c>
      <c r="J2">
        <f>[1]!WDOQ26.NEG</f>
        <v>407200</v>
      </c>
      <c r="K2" t="str">
        <f>[1]!WDOQ26.VEN</f>
        <v>03/08/2026</v>
      </c>
      <c r="L2" t="str">
        <f>[1]!WDOQ26.22</f>
        <v>42,18</v>
      </c>
      <c r="M2" t="str">
        <f>[1]!WDOQ26.6</f>
        <v>-10,20 / -10,20</v>
      </c>
      <c r="N2" t="str">
        <f>[1]!WDOQ26.3</f>
        <v>5.109,80</v>
      </c>
    </row>
    <row r="3" spans="1:14" x14ac:dyDescent="0.25">
      <c r="A3" t="s">
        <v>15</v>
      </c>
      <c r="B3" t="str">
        <f>[1]!WINQ26.DAT</f>
        <v>23/07/2026</v>
      </c>
      <c r="C3" t="str">
        <f>[1]!WINQ26.HOR</f>
        <v>17:38:05</v>
      </c>
      <c r="D3">
        <f>[1]!WINQ26.ULT</f>
        <v>177805</v>
      </c>
      <c r="E3">
        <f>[1]!WINQ26.ABE</f>
        <v>178400</v>
      </c>
      <c r="F3">
        <f>[1]!WINQ26.MAX</f>
        <v>179125</v>
      </c>
      <c r="G3">
        <f>[1]!WINQ26.MIN</f>
        <v>177400</v>
      </c>
      <c r="H3">
        <f>[1]!WINQ26.PEX</f>
        <v>0</v>
      </c>
      <c r="I3">
        <f>[1]!WINQ26.MED</f>
        <v>178105.07225430387</v>
      </c>
      <c r="J3">
        <f>[1]!WINQ26.NEG</f>
        <v>4323338</v>
      </c>
      <c r="K3" t="str">
        <f>[1]!WINQ26.VEN</f>
        <v>12/08/2026</v>
      </c>
      <c r="L3" t="str">
        <f>[1]!WINQ26.22</f>
        <v>49,55</v>
      </c>
      <c r="M3" t="str">
        <f>[1]!WINQ26.6</f>
        <v>368,05 / 368,05</v>
      </c>
      <c r="N3" t="str">
        <f>[1]!WINQ26.3</f>
        <v>177.029,50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tertoliano</dc:creator>
  <cp:lastModifiedBy>Marcelo tertoliano</cp:lastModifiedBy>
  <dcterms:created xsi:type="dcterms:W3CDTF">2026-07-22T19:38:06Z</dcterms:created>
  <dcterms:modified xsi:type="dcterms:W3CDTF">2026-07-23T19:37:35Z</dcterms:modified>
</cp:coreProperties>
</file>