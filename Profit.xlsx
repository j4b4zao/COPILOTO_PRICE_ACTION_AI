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"/>
    </mc:Choice>
  </mc:AlternateContent>
  <xr:revisionPtr revIDLastSave="0" documentId="13_ncr:1_{D7F8EAEC-DC79-4F67-B5B2-ACD7880B14E7}" xr6:coauthVersionLast="47" xr6:coauthVersionMax="47" xr10:uidLastSave="{00000000-0000-0000-0000-000000000000}"/>
  <bookViews>
    <workbookView xWindow="780" yWindow="780" windowWidth="24090" windowHeight="13020" xr2:uid="{053FB8ED-3EE0-40A4-8A34-98C4171923B1}"/>
  </bookViews>
  <sheets>
    <sheet name="Plani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</calcChain>
</file>

<file path=xl/sharedStrings.xml><?xml version="1.0" encoding="utf-8"?>
<sst xmlns="http://schemas.openxmlformats.org/spreadsheetml/2006/main" count="15" uniqueCount="15">
  <si>
    <t>Asset</t>
  </si>
  <si>
    <t>Data</t>
  </si>
  <si>
    <t>Hora</t>
  </si>
  <si>
    <t>Último</t>
  </si>
  <si>
    <t>Abertura</t>
  </si>
  <si>
    <t>Máximo</t>
  </si>
  <si>
    <t>Mínimo</t>
  </si>
  <si>
    <t>Strike</t>
  </si>
  <si>
    <t>Média</t>
  </si>
  <si>
    <t>Negócios</t>
  </si>
  <si>
    <t>Vencimento</t>
  </si>
  <si>
    <t>ADX</t>
  </si>
  <si>
    <t>MACD Histograma</t>
  </si>
  <si>
    <t>WINV26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</si>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</sst>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fitchart" ddeTopic="cot">
    <ddeItems>
      <ddeItem name="StdDocumentName" ole="1" advise="1"/>
      <ddeItem name="WINV26.22" advise="1">
        <values>
          <value t="str">
            <val>63,20</val>
          </value>
        </values>
      </ddeItem>
      <ddeItem name="WINV26.6" advise="1">
        <values>
          <value t="str">
            <val>-1.207,95 / -1.207,95</val>
          </value>
        </values>
      </ddeItem>
      <ddeItem name="WINV26.ABE" advise="1">
        <values>
          <value>
            <val>171100</val>
          </value>
        </values>
      </ddeItem>
      <ddeItem name="WINV26.DAT" advise="1">
        <values>
          <value t="str">
            <val>14/08/2026</val>
          </value>
        </values>
      </ddeItem>
      <ddeItem name="WINV26.HOR" advise="1">
        <values>
          <value t="str">
            <val>18:24:59</val>
          </value>
        </values>
      </ddeItem>
      <ddeItem name="WINV26.MAX" advise="1">
        <values>
          <value>
            <val>171240</val>
          </value>
        </values>
      </ddeItem>
      <ddeItem name="WINV26.MED" advise="1">
        <values>
          <value>
            <val>169158.52895226577</val>
          </value>
        </values>
      </ddeItem>
      <ddeItem name="WINV26.MIN" advise="1">
        <values>
          <value>
            <val>167975</val>
          </value>
        </values>
      </ddeItem>
      <ddeItem name="WINV26.NEG" advise="1">
        <values>
          <value>
            <val>4751555</val>
          </value>
        </values>
      </ddeItem>
      <ddeItem name="WINV26.PEX" advise="1">
        <values>
          <value>
            <val>0</val>
          </value>
        </values>
      </ddeItem>
      <ddeItem name="WINV26.ULT" advise="1">
        <values>
          <value>
            <val>170000</val>
          </value>
        </values>
      </ddeItem>
      <ddeItem name="WINV26.VEN" advise="1">
        <values>
          <value t="str">
            <val>14/10/2026</val>
          </value>
        </values>
      </ddeItem>
      <ddeItem name="WINV26.VOL" advise="1">
        <values>
          <value>
            <val>560326056711</val>
          </value>
        </values>
      </ddeItem>
    </ddeItems>
  </ddeLin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09D2-3F42-4A00-8BF9-FD2B7B5A3F3B}">
  <dimension ref="A1:N2"/>
  <sheetViews>
    <sheetView tabSelected="1" workbookViewId="0">
      <selection activeCell="J5" sqref="J5"/>
    </sheetView>
  </sheetViews>
  <sheetFormatPr defaultRowHeight="15" x14ac:dyDescent="0.25"/>
  <cols>
    <col min="9" max="9" width="13.7109375" customWidth="1"/>
    <col min="10" max="10" width="11.28515625" customWidth="1"/>
    <col min="11" max="11" width="11.85546875" customWidth="1"/>
    <col min="12" max="12" width="12.140625" customWidth="1"/>
    <col min="13" max="13" width="13.7109375" customWidth="1"/>
    <col min="14" max="14" width="17.85546875" customWidth="1"/>
    <col min="15" max="15" width="15.42578125" customWidth="1"/>
    <col min="16" max="16" width="14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tr">
        <f>[1]!WINV26.DAT</f>
        <v>14/08/2026</v>
      </c>
      <c r="C2" t="str">
        <f>[1]!WINV26.HOR</f>
        <v>18:24:59</v>
      </c>
      <c r="D2">
        <f>[1]!WINV26.ULT</f>
        <v>170000</v>
      </c>
      <c r="E2">
        <f>[1]!WINV26.ABE</f>
        <v>171100</v>
      </c>
      <c r="F2">
        <f>[1]!WINV26.MAX</f>
        <v>171240</v>
      </c>
      <c r="G2">
        <f>[1]!WINV26.MIN</f>
        <v>167975</v>
      </c>
      <c r="H2">
        <f>[1]!WINV26.PEX</f>
        <v>0</v>
      </c>
      <c r="I2">
        <f>[1]!WINV26.MED</f>
        <v>169158.52895226577</v>
      </c>
      <c r="J2">
        <f>[1]!WINV26.NEG</f>
        <v>4751555</v>
      </c>
      <c r="K2">
        <f>[1]!WINV26.VOL</f>
        <v>560326056711</v>
      </c>
      <c r="L2" t="str">
        <f>[1]!WINV26.VEN</f>
        <v>14/10/2026</v>
      </c>
      <c r="M2" t="str">
        <f>[1]!WINV26.22</f>
        <v>63,20</v>
      </c>
      <c r="N2" t="str">
        <f>[1]!WINV26.6</f>
        <v>-1.207,95 / -1.207,95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2026-07-22T19:38:06Z</dcterms:created>
  <dcterms:modified xsi:type="dcterms:W3CDTF">2026-08-14T20:29:24Z</dcterms:modified>
</cp:coreProperties>
</file>