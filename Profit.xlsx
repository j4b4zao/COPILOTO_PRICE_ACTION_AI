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PILOTO_PRICE_ACTION_AI\"/>
    </mc:Choice>
  </mc:AlternateContent>
  <xr:revisionPtr revIDLastSave="0" documentId="13_ncr:1_{6CA84173-C63E-4448-B9C4-23B637110D89}" xr6:coauthVersionLast="47" xr6:coauthVersionMax="47" xr10:uidLastSave="{00000000-0000-0000-0000-000000000000}"/>
  <bookViews>
    <workbookView xWindow="-25320" yWindow="270" windowWidth="25440" windowHeight="15390" xr2:uid="{053FB8ED-3EE0-40A4-8A34-98C4171923B1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2" i="1" l="1"/>
  <c r="C2" i="1"/>
  <c r="D2" i="1"/>
  <c r="E2" i="1"/>
  <c r="F2" i="1"/>
  <c r="G2" i="1"/>
  <c r="H2" i="1"/>
  <c r="I2" i="1"/>
  <c r="J2" i="1"/>
  <c r="K2" i="1"/>
  <c r="L2" i="1"/>
  <c r="M2" i="1"/>
  <c r="N2" i="1"/>
</calcChain>
</file>

<file path=xl/sharedStrings.xml><?xml version="1.0" encoding="utf-8"?>
<sst xmlns="http://schemas.openxmlformats.org/spreadsheetml/2006/main" count="15" uniqueCount="15">
  <si>
    <t>Asset</t>
  </si>
  <si>
    <t>Data</t>
  </si>
  <si>
    <t>Hora</t>
  </si>
  <si>
    <t>Último</t>
  </si>
  <si>
    <t>Abertura</t>
  </si>
  <si>
    <t>Máximo</t>
  </si>
  <si>
    <t>Mínimo</t>
  </si>
  <si>
    <t>Strike</t>
  </si>
  <si>
    <t>Média</t>
  </si>
  <si>
    <t>Vencimento</t>
  </si>
  <si>
    <t>ADX</t>
  </si>
  <si>
    <t>MACD Histograma</t>
  </si>
  <si>
    <t>WINV26</t>
  </si>
  <si>
    <t>Volume</t>
  </si>
  <si>
    <t>Média Móvel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</si>
</sst>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trading.rtdserver">
      <tp t="s">
        <v>171.638,50</v>
        <stp/>
        <stp>WINV26_F_0</stp>
        <stp>3</stp>
        <tr r="N2" s="1"/>
      </tp>
      <tp t="s">
        <v>227,89</v>
        <stp/>
        <stp>WINV26_F_0</stp>
        <stp>6</stp>
        <tr r="M2" s="1"/>
      </tp>
      <tp>
        <v>0</v>
        <stp/>
        <stp>WINV26_F_0</stp>
        <stp>PEX</stp>
        <tr r="H2" s="1"/>
      </tp>
      <tp t="s">
        <v>14/10/2026</v>
        <stp/>
        <stp>WINV26_F_0</stp>
        <stp>VEN</stp>
        <tr r="K2" s="1"/>
      </tp>
      <tp>
        <v>136134201334</v>
        <stp/>
        <stp>WINV26_F_0</stp>
        <stp>VOL</stp>
        <tr r="J2" s="1"/>
      </tp>
      <tp>
        <v>174815</v>
        <stp/>
        <stp>WINV26_F_0</stp>
        <stp>ULT</stp>
        <tr r="D2" s="1"/>
      </tp>
      <tp t="s">
        <v>10:13:33</v>
        <stp/>
        <stp>WINV26_F_0</stp>
        <stp>HOR</stp>
        <tr r="C2" s="1"/>
      </tp>
      <tp>
        <v>175380</v>
        <stp/>
        <stp>WINV26_F_0</stp>
        <stp>MAX</stp>
        <tr r="F2" s="1"/>
      </tp>
      <tp>
        <v>174587.92510841353</v>
        <stp/>
        <stp>WINV26_F_0</stp>
        <stp>MED</stp>
        <tr r="I2" s="1"/>
      </tp>
      <tp>
        <v>174170</v>
        <stp/>
        <stp>WINV26_F_0</stp>
        <stp>MIN</stp>
        <tr r="G2" s="1"/>
      </tp>
      <tp>
        <v>174565</v>
        <stp/>
        <stp>WINV26_F_0</stp>
        <stp>ABE</stp>
        <tr r="E2" s="1"/>
      </tp>
      <tp t="s">
        <v>25/08/2026</v>
        <stp/>
        <stp>WINV26_F_0</stp>
        <stp>DAT</stp>
        <tr r="B2" s="1"/>
      </tp>
      <tp t="s">
        <v>59,52</v>
        <stp/>
        <stp>WINV26_F_0</stp>
        <stp>22</stp>
        <tr r="L2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D09D2-3F42-4A00-8BF9-FD2B7B5A3F3B}">
  <dimension ref="A1:N2"/>
  <sheetViews>
    <sheetView tabSelected="1" workbookViewId="0">
      <selection activeCell="E6" sqref="E6"/>
    </sheetView>
  </sheetViews>
  <sheetFormatPr defaultRowHeight="15" x14ac:dyDescent="0.25"/>
  <cols>
    <col min="9" max="9" width="13.7109375" customWidth="1"/>
    <col min="10" max="10" width="11.28515625" customWidth="1"/>
    <col min="11" max="11" width="11.85546875" customWidth="1"/>
    <col min="12" max="12" width="12.140625" customWidth="1"/>
    <col min="13" max="13" width="13.7109375" customWidth="1"/>
    <col min="14" max="14" width="17.85546875" customWidth="1"/>
    <col min="15" max="15" width="15.42578125" customWidth="1"/>
    <col min="16" max="16" width="14.28515625" customWidth="1"/>
  </cols>
  <sheetData>
    <row r="1" spans="1:1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13</v>
      </c>
      <c r="K1" t="s">
        <v>9</v>
      </c>
      <c r="L1" t="s">
        <v>10</v>
      </c>
      <c r="M1" t="s">
        <v>11</v>
      </c>
      <c r="N1" t="s">
        <v>14</v>
      </c>
    </row>
    <row r="2" spans="1:14" x14ac:dyDescent="0.25">
      <c r="A2" t="s">
        <v>12</v>
      </c>
      <c r="B2" t="str">
        <f>RTD("rtdtrading.rtdserver",, "WINV26_F_0", "DAT")</f>
        <v>25/08/2026</v>
      </c>
      <c r="C2" t="str">
        <f>RTD("rtdtrading.rtdserver",, "WINV26_F_0", "HOR")</f>
        <v>10:13:33</v>
      </c>
      <c r="D2">
        <f>RTD("rtdtrading.rtdserver",, "WINV26_F_0", "ULT")</f>
        <v>174815</v>
      </c>
      <c r="E2">
        <f>RTD("rtdtrading.rtdserver",, "WINV26_F_0", "ABE")</f>
        <v>174565</v>
      </c>
      <c r="F2">
        <f>RTD("rtdtrading.rtdserver",, "WINV26_F_0", "MAX")</f>
        <v>175380</v>
      </c>
      <c r="G2">
        <f>RTD("rtdtrading.rtdserver",, "WINV26_F_0", "MIN")</f>
        <v>174170</v>
      </c>
      <c r="H2">
        <f>RTD("rtdtrading.rtdserver",, "WINV26_F_0", "PEX")</f>
        <v>0</v>
      </c>
      <c r="I2">
        <f>RTD("rtdtrading.rtdserver",, "WINV26_F_0", "MED")</f>
        <v>174587.92510841353</v>
      </c>
      <c r="J2">
        <f>RTD("rtdtrading.rtdserver",, "WINV26_F_0", "VOL")</f>
        <v>136134201334</v>
      </c>
      <c r="K2" t="str">
        <f>RTD("rtdtrading.rtdserver",, "WINV26_F_0", "VEN")</f>
        <v>14/10/2026</v>
      </c>
      <c r="L2" t="str">
        <f>RTD("rtdtrading.rtdserver",, "WINV26_F_0", "22")</f>
        <v>59,52</v>
      </c>
      <c r="M2" t="str">
        <f>RTD("rtdtrading.rtdserver",, "WINV26_F_0", "6")</f>
        <v>227,89</v>
      </c>
      <c r="N2" t="str">
        <f>RTD("rtdtrading.rtdserver",, "WINV26_F_0", "3")</f>
        <v>171.638,50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tertoliano</dc:creator>
  <cp:lastModifiedBy>Marcelo tertoliano</cp:lastModifiedBy>
  <dcterms:created xsi:type="dcterms:W3CDTF">2026-07-22T19:38:06Z</dcterms:created>
  <dcterms:modified xsi:type="dcterms:W3CDTF">2026-08-25T12:12:42Z</dcterms:modified>
</cp:coreProperties>
</file>